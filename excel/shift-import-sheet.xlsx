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lowm/projects/nest.git/master/"/>
    </mc:Choice>
  </mc:AlternateContent>
  <xr:revisionPtr revIDLastSave="0" documentId="13_ncr:1_{5C8C6001-E028-9D43-88B2-7C535E08A536}" xr6:coauthVersionLast="47" xr6:coauthVersionMax="47" xr10:uidLastSave="{00000000-0000-0000-0000-000000000000}"/>
  <bookViews>
    <workbookView xWindow="160" yWindow="920" windowWidth="35680" windowHeight="22300" xr2:uid="{3AF68A43-16A9-4E28-ACC3-EDCA11730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" i="1" l="1"/>
  <c r="AM74" i="1"/>
  <c r="AM75" i="1"/>
  <c r="AM76" i="1"/>
  <c r="AM17" i="1"/>
  <c r="A39" i="1" s="1"/>
  <c r="AM18" i="1"/>
  <c r="A42" i="1" s="1"/>
  <c r="AM19" i="1"/>
  <c r="A45" i="1" s="1"/>
  <c r="AM20" i="1"/>
  <c r="A48" i="1" s="1"/>
  <c r="AM21" i="1"/>
  <c r="A51" i="1" s="1"/>
  <c r="AM22" i="1"/>
  <c r="A54" i="1" s="1"/>
  <c r="AM23" i="1"/>
  <c r="A57" i="1" s="1"/>
  <c r="AM24" i="1"/>
  <c r="A60" i="1" s="1"/>
  <c r="AM25" i="1"/>
  <c r="A63" i="1" s="1"/>
  <c r="AM26" i="1"/>
  <c r="A66" i="1" s="1"/>
  <c r="AM27" i="1"/>
  <c r="A69" i="1" s="1"/>
  <c r="AM28" i="1"/>
  <c r="A72" i="1" s="1"/>
  <c r="AM29" i="1"/>
  <c r="A75" i="1" s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11" i="1"/>
  <c r="A21" i="1" s="1"/>
  <c r="AM12" i="1"/>
  <c r="A26" i="1" s="1"/>
  <c r="AM13" i="1"/>
  <c r="A27" i="1" s="1"/>
  <c r="AM14" i="1"/>
  <c r="A30" i="1" s="1"/>
  <c r="AM15" i="1"/>
  <c r="A33" i="1" s="1"/>
  <c r="AM16" i="1"/>
  <c r="A38" i="1" s="1"/>
  <c r="A9" i="1"/>
  <c r="AM8" i="1"/>
  <c r="A12" i="1" s="1"/>
  <c r="AM9" i="1"/>
  <c r="A15" i="1" s="1"/>
  <c r="AM10" i="1"/>
  <c r="A18" i="1" s="1"/>
  <c r="AM6" i="1"/>
  <c r="A6" i="1" s="1"/>
  <c r="D75" i="1" a="1"/>
  <c r="D75" i="1" s="1"/>
  <c r="C68" i="1"/>
  <c r="C65" i="1"/>
  <c r="C62" i="1"/>
  <c r="C59" i="1"/>
  <c r="C56" i="1"/>
  <c r="C53" i="1"/>
  <c r="C50" i="1"/>
  <c r="C47" i="1"/>
  <c r="C44" i="1"/>
  <c r="C41" i="1"/>
  <c r="C38" i="1"/>
  <c r="C35" i="1"/>
  <c r="C32" i="1"/>
  <c r="C29" i="1"/>
  <c r="C26" i="1"/>
  <c r="C23" i="1"/>
  <c r="C20" i="1"/>
  <c r="C17" i="1"/>
  <c r="C14" i="1"/>
  <c r="C11" i="1"/>
  <c r="C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C47" i="1"/>
  <c r="AB47" i="1"/>
  <c r="AA47" i="1"/>
  <c r="Z47" i="1"/>
  <c r="Y47" i="1"/>
  <c r="AC46" i="1"/>
  <c r="AB46" i="1"/>
  <c r="AA46" i="1"/>
  <c r="Z46" i="1"/>
  <c r="Y46" i="1"/>
  <c r="AC45" i="1"/>
  <c r="AB45" i="1"/>
  <c r="AA45" i="1"/>
  <c r="Z45" i="1"/>
  <c r="Y45" i="1"/>
  <c r="V47" i="1"/>
  <c r="U47" i="1"/>
  <c r="T47" i="1"/>
  <c r="S47" i="1"/>
  <c r="R47" i="1"/>
  <c r="V46" i="1"/>
  <c r="U46" i="1"/>
  <c r="T46" i="1"/>
  <c r="S46" i="1"/>
  <c r="R46" i="1"/>
  <c r="V45" i="1"/>
  <c r="U45" i="1"/>
  <c r="T45" i="1"/>
  <c r="S45" i="1"/>
  <c r="R45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H47" i="1"/>
  <c r="G47" i="1"/>
  <c r="F47" i="1"/>
  <c r="E47" i="1"/>
  <c r="H46" i="1"/>
  <c r="G46" i="1"/>
  <c r="F46" i="1"/>
  <c r="E46" i="1"/>
  <c r="H45" i="1"/>
  <c r="G45" i="1"/>
  <c r="F45" i="1"/>
  <c r="E45" i="1"/>
  <c r="AH44" i="1"/>
  <c r="AH43" i="1"/>
  <c r="AH42" i="1"/>
  <c r="AE44" i="1"/>
  <c r="AD44" i="1"/>
  <c r="AC44" i="1"/>
  <c r="AB44" i="1"/>
  <c r="AA44" i="1"/>
  <c r="AE43" i="1"/>
  <c r="AD43" i="1"/>
  <c r="AC43" i="1"/>
  <c r="AB43" i="1"/>
  <c r="AA43" i="1"/>
  <c r="AE42" i="1"/>
  <c r="AD42" i="1"/>
  <c r="AC42" i="1"/>
  <c r="AB42" i="1"/>
  <c r="AA42" i="1"/>
  <c r="X44" i="1"/>
  <c r="W44" i="1"/>
  <c r="V44" i="1"/>
  <c r="U44" i="1"/>
  <c r="T44" i="1"/>
  <c r="X43" i="1"/>
  <c r="W43" i="1"/>
  <c r="V43" i="1"/>
  <c r="U43" i="1"/>
  <c r="T43" i="1"/>
  <c r="X42" i="1"/>
  <c r="W42" i="1"/>
  <c r="V42" i="1"/>
  <c r="U42" i="1"/>
  <c r="T42" i="1"/>
  <c r="Q44" i="1"/>
  <c r="P44" i="1"/>
  <c r="O44" i="1"/>
  <c r="N44" i="1"/>
  <c r="M44" i="1"/>
  <c r="Q43" i="1"/>
  <c r="P43" i="1"/>
  <c r="O43" i="1"/>
  <c r="N43" i="1"/>
  <c r="M43" i="1"/>
  <c r="Q42" i="1"/>
  <c r="P42" i="1"/>
  <c r="O42" i="1"/>
  <c r="N42" i="1"/>
  <c r="M42" i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G42" i="1"/>
  <c r="F42" i="1"/>
  <c r="AH41" i="1"/>
  <c r="AG41" i="1"/>
  <c r="AF41" i="1"/>
  <c r="AE41" i="1"/>
  <c r="AD41" i="1"/>
  <c r="AH40" i="1"/>
  <c r="AG40" i="1"/>
  <c r="AF40" i="1"/>
  <c r="AE40" i="1"/>
  <c r="AD40" i="1"/>
  <c r="AH39" i="1"/>
  <c r="AG39" i="1"/>
  <c r="AF39" i="1"/>
  <c r="AE39" i="1"/>
  <c r="AD39" i="1"/>
  <c r="AA41" i="1"/>
  <c r="Z41" i="1"/>
  <c r="Y41" i="1"/>
  <c r="X41" i="1"/>
  <c r="W41" i="1"/>
  <c r="AA40" i="1"/>
  <c r="Z40" i="1"/>
  <c r="Y40" i="1"/>
  <c r="X40" i="1"/>
  <c r="W40" i="1"/>
  <c r="AA39" i="1"/>
  <c r="Z39" i="1"/>
  <c r="Y39" i="1"/>
  <c r="X39" i="1"/>
  <c r="W39" i="1"/>
  <c r="T41" i="1"/>
  <c r="S41" i="1"/>
  <c r="R41" i="1"/>
  <c r="Q41" i="1"/>
  <c r="P41" i="1"/>
  <c r="T40" i="1"/>
  <c r="S40" i="1"/>
  <c r="R40" i="1"/>
  <c r="Q40" i="1"/>
  <c r="P40" i="1"/>
  <c r="T39" i="1"/>
  <c r="S39" i="1"/>
  <c r="R39" i="1"/>
  <c r="Q39" i="1"/>
  <c r="P39" i="1"/>
  <c r="M41" i="1"/>
  <c r="L41" i="1"/>
  <c r="K41" i="1"/>
  <c r="J41" i="1"/>
  <c r="I41" i="1"/>
  <c r="M40" i="1"/>
  <c r="L40" i="1"/>
  <c r="K40" i="1"/>
  <c r="J40" i="1"/>
  <c r="I40" i="1"/>
  <c r="M39" i="1"/>
  <c r="L39" i="1"/>
  <c r="K39" i="1"/>
  <c r="J39" i="1"/>
  <c r="I39" i="1"/>
  <c r="F41" i="1"/>
  <c r="E41" i="1"/>
  <c r="F40" i="1"/>
  <c r="E40" i="1"/>
  <c r="F39" i="1"/>
  <c r="E39" i="1"/>
  <c r="AH38" i="1"/>
  <c r="AG38" i="1"/>
  <c r="AF38" i="1"/>
  <c r="AH37" i="1"/>
  <c r="AG37" i="1"/>
  <c r="AF37" i="1"/>
  <c r="AH36" i="1"/>
  <c r="AG36" i="1"/>
  <c r="AF36" i="1"/>
  <c r="AC38" i="1"/>
  <c r="AB38" i="1"/>
  <c r="AA38" i="1"/>
  <c r="Z38" i="1"/>
  <c r="Y38" i="1"/>
  <c r="AC37" i="1"/>
  <c r="AB37" i="1"/>
  <c r="AA37" i="1"/>
  <c r="Z37" i="1"/>
  <c r="Y37" i="1"/>
  <c r="AC36" i="1"/>
  <c r="AB36" i="1"/>
  <c r="AA36" i="1"/>
  <c r="Z36" i="1"/>
  <c r="Y36" i="1"/>
  <c r="V38" i="1"/>
  <c r="U38" i="1"/>
  <c r="T38" i="1"/>
  <c r="S38" i="1"/>
  <c r="R38" i="1"/>
  <c r="V37" i="1"/>
  <c r="U37" i="1"/>
  <c r="T37" i="1"/>
  <c r="S37" i="1"/>
  <c r="R37" i="1"/>
  <c r="V36" i="1"/>
  <c r="U36" i="1"/>
  <c r="T36" i="1"/>
  <c r="S36" i="1"/>
  <c r="R36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H38" i="1"/>
  <c r="G38" i="1"/>
  <c r="F38" i="1"/>
  <c r="E38" i="1"/>
  <c r="H37" i="1"/>
  <c r="G37" i="1"/>
  <c r="F37" i="1"/>
  <c r="E37" i="1"/>
  <c r="H36" i="1"/>
  <c r="G36" i="1"/>
  <c r="F36" i="1"/>
  <c r="E36" i="1"/>
  <c r="AI35" i="1"/>
  <c r="AI34" i="1"/>
  <c r="AI33" i="1"/>
  <c r="AF35" i="1"/>
  <c r="AE35" i="1"/>
  <c r="AD35" i="1"/>
  <c r="AC35" i="1"/>
  <c r="AB35" i="1"/>
  <c r="AF34" i="1"/>
  <c r="AE34" i="1"/>
  <c r="AD34" i="1"/>
  <c r="AC34" i="1"/>
  <c r="AB34" i="1"/>
  <c r="AF33" i="1"/>
  <c r="AE33" i="1"/>
  <c r="AD33" i="1"/>
  <c r="AC33" i="1"/>
  <c r="AB33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R35" i="1"/>
  <c r="Q35" i="1"/>
  <c r="P35" i="1"/>
  <c r="O35" i="1"/>
  <c r="N35" i="1"/>
  <c r="R34" i="1"/>
  <c r="Q34" i="1"/>
  <c r="P34" i="1"/>
  <c r="O34" i="1"/>
  <c r="N34" i="1"/>
  <c r="R33" i="1"/>
  <c r="Q33" i="1"/>
  <c r="P33" i="1"/>
  <c r="O33" i="1"/>
  <c r="N33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AI32" i="1"/>
  <c r="AH32" i="1"/>
  <c r="AG32" i="1"/>
  <c r="AF32" i="1"/>
  <c r="AE32" i="1"/>
  <c r="AI31" i="1"/>
  <c r="AH31" i="1"/>
  <c r="AG31" i="1"/>
  <c r="AF31" i="1"/>
  <c r="AE31" i="1"/>
  <c r="AI30" i="1"/>
  <c r="AH30" i="1"/>
  <c r="AG30" i="1"/>
  <c r="AF30" i="1"/>
  <c r="AE30" i="1"/>
  <c r="AB32" i="1"/>
  <c r="AA32" i="1"/>
  <c r="Z32" i="1"/>
  <c r="Y32" i="1"/>
  <c r="X32" i="1"/>
  <c r="AB31" i="1"/>
  <c r="AA31" i="1"/>
  <c r="Z31" i="1"/>
  <c r="Y31" i="1"/>
  <c r="X31" i="1"/>
  <c r="AB30" i="1"/>
  <c r="AA30" i="1"/>
  <c r="Z30" i="1"/>
  <c r="Y30" i="1"/>
  <c r="X30" i="1"/>
  <c r="U32" i="1"/>
  <c r="T32" i="1"/>
  <c r="S32" i="1"/>
  <c r="R32" i="1"/>
  <c r="Q32" i="1"/>
  <c r="U31" i="1"/>
  <c r="T31" i="1"/>
  <c r="S31" i="1"/>
  <c r="R31" i="1"/>
  <c r="Q31" i="1"/>
  <c r="U30" i="1"/>
  <c r="T30" i="1"/>
  <c r="S30" i="1"/>
  <c r="R30" i="1"/>
  <c r="Q30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G32" i="1"/>
  <c r="F32" i="1"/>
  <c r="E32" i="1"/>
  <c r="G31" i="1"/>
  <c r="F31" i="1"/>
  <c r="E31" i="1"/>
  <c r="G30" i="1"/>
  <c r="F30" i="1"/>
  <c r="E30" i="1"/>
  <c r="AH29" i="1"/>
  <c r="AG29" i="1"/>
  <c r="AH28" i="1"/>
  <c r="AG28" i="1"/>
  <c r="AH27" i="1"/>
  <c r="AG27" i="1"/>
  <c r="AD29" i="1"/>
  <c r="AC29" i="1"/>
  <c r="AB29" i="1"/>
  <c r="AA29" i="1"/>
  <c r="Z29" i="1"/>
  <c r="AD28" i="1"/>
  <c r="AC28" i="1"/>
  <c r="AB28" i="1"/>
  <c r="AA28" i="1"/>
  <c r="Z28" i="1"/>
  <c r="AD27" i="1"/>
  <c r="AC27" i="1"/>
  <c r="AB27" i="1"/>
  <c r="AA27" i="1"/>
  <c r="Z27" i="1"/>
  <c r="W29" i="1"/>
  <c r="V29" i="1"/>
  <c r="U29" i="1"/>
  <c r="T29" i="1"/>
  <c r="S29" i="1"/>
  <c r="W28" i="1"/>
  <c r="V28" i="1"/>
  <c r="U28" i="1"/>
  <c r="T28" i="1"/>
  <c r="S28" i="1"/>
  <c r="W27" i="1"/>
  <c r="V27" i="1"/>
  <c r="U27" i="1"/>
  <c r="T27" i="1"/>
  <c r="S27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I29" i="1"/>
  <c r="H29" i="1"/>
  <c r="G29" i="1"/>
  <c r="F29" i="1"/>
  <c r="E29" i="1"/>
  <c r="I28" i="1"/>
  <c r="H28" i="1"/>
  <c r="G28" i="1"/>
  <c r="F28" i="1"/>
  <c r="E28" i="1"/>
  <c r="I27" i="1"/>
  <c r="H27" i="1"/>
  <c r="G27" i="1"/>
  <c r="F27" i="1"/>
  <c r="E27" i="1"/>
  <c r="AG26" i="1"/>
  <c r="AF26" i="1"/>
  <c r="AE26" i="1"/>
  <c r="AD26" i="1"/>
  <c r="AC26" i="1"/>
  <c r="AG25" i="1"/>
  <c r="AF25" i="1"/>
  <c r="AE25" i="1"/>
  <c r="AD25" i="1"/>
  <c r="AC25" i="1"/>
  <c r="AG24" i="1"/>
  <c r="AF24" i="1"/>
  <c r="AE24" i="1"/>
  <c r="AD24" i="1"/>
  <c r="AC24" i="1"/>
  <c r="Z26" i="1"/>
  <c r="Z25" i="1"/>
  <c r="Z24" i="1"/>
  <c r="Y26" i="1"/>
  <c r="X26" i="1"/>
  <c r="W26" i="1"/>
  <c r="V26" i="1"/>
  <c r="Y25" i="1"/>
  <c r="X25" i="1"/>
  <c r="W25" i="1"/>
  <c r="V25" i="1"/>
  <c r="Y24" i="1"/>
  <c r="X24" i="1"/>
  <c r="W24" i="1"/>
  <c r="V24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E26" i="1"/>
  <c r="E25" i="1"/>
  <c r="E24" i="1"/>
  <c r="AH23" i="1"/>
  <c r="AG23" i="1"/>
  <c r="AF23" i="1"/>
  <c r="AE23" i="1"/>
  <c r="AH22" i="1"/>
  <c r="AG22" i="1"/>
  <c r="AF22" i="1"/>
  <c r="AE22" i="1"/>
  <c r="AH21" i="1"/>
  <c r="AG21" i="1"/>
  <c r="AF21" i="1"/>
  <c r="AE21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U23" i="1"/>
  <c r="T23" i="1"/>
  <c r="S23" i="1"/>
  <c r="R23" i="1"/>
  <c r="Q23" i="1"/>
  <c r="U22" i="1"/>
  <c r="T22" i="1"/>
  <c r="S22" i="1"/>
  <c r="R22" i="1"/>
  <c r="Q22" i="1"/>
  <c r="U21" i="1"/>
  <c r="T21" i="1"/>
  <c r="S21" i="1"/>
  <c r="R21" i="1"/>
  <c r="Q21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G23" i="1"/>
  <c r="F23" i="1"/>
  <c r="E23" i="1"/>
  <c r="G22" i="1"/>
  <c r="F22" i="1"/>
  <c r="E22" i="1"/>
  <c r="G21" i="1"/>
  <c r="F21" i="1"/>
  <c r="E21" i="1"/>
  <c r="AI20" i="1"/>
  <c r="AH20" i="1"/>
  <c r="AI19" i="1"/>
  <c r="AH19" i="1"/>
  <c r="AI18" i="1"/>
  <c r="AH18" i="1"/>
  <c r="AE20" i="1"/>
  <c r="AD20" i="1"/>
  <c r="AC20" i="1"/>
  <c r="AB20" i="1"/>
  <c r="AA20" i="1"/>
  <c r="AE19" i="1"/>
  <c r="AD19" i="1"/>
  <c r="AC19" i="1"/>
  <c r="AB19" i="1"/>
  <c r="AA19" i="1"/>
  <c r="AE18" i="1"/>
  <c r="AD18" i="1"/>
  <c r="AC18" i="1"/>
  <c r="AB18" i="1"/>
  <c r="AA18" i="1"/>
  <c r="X20" i="1"/>
  <c r="W20" i="1"/>
  <c r="V20" i="1"/>
  <c r="U20" i="1"/>
  <c r="T20" i="1"/>
  <c r="X19" i="1"/>
  <c r="W19" i="1"/>
  <c r="V19" i="1"/>
  <c r="U19" i="1"/>
  <c r="T19" i="1"/>
  <c r="X18" i="1"/>
  <c r="W18" i="1"/>
  <c r="V18" i="1"/>
  <c r="U18" i="1"/>
  <c r="T18" i="1"/>
  <c r="Q20" i="1"/>
  <c r="P20" i="1"/>
  <c r="O20" i="1"/>
  <c r="N20" i="1"/>
  <c r="M20" i="1"/>
  <c r="Q19" i="1"/>
  <c r="P19" i="1"/>
  <c r="O19" i="1"/>
  <c r="N19" i="1"/>
  <c r="M19" i="1"/>
  <c r="Q18" i="1"/>
  <c r="P18" i="1"/>
  <c r="O18" i="1"/>
  <c r="N18" i="1"/>
  <c r="M18" i="1"/>
  <c r="J20" i="1"/>
  <c r="I20" i="1"/>
  <c r="H20" i="1"/>
  <c r="G20" i="1"/>
  <c r="F20" i="1"/>
  <c r="J19" i="1"/>
  <c r="I19" i="1"/>
  <c r="H19" i="1"/>
  <c r="G19" i="1"/>
  <c r="F19" i="1"/>
  <c r="J18" i="1"/>
  <c r="I18" i="1"/>
  <c r="H18" i="1"/>
  <c r="G18" i="1"/>
  <c r="F18" i="1"/>
  <c r="AE17" i="1"/>
  <c r="AD17" i="1"/>
  <c r="AC17" i="1"/>
  <c r="AB17" i="1"/>
  <c r="AA17" i="1"/>
  <c r="AE16" i="1"/>
  <c r="AD16" i="1"/>
  <c r="AC16" i="1"/>
  <c r="AB16" i="1"/>
  <c r="AA16" i="1"/>
  <c r="AE15" i="1"/>
  <c r="AD15" i="1"/>
  <c r="AC15" i="1"/>
  <c r="AB15" i="1"/>
  <c r="AA15" i="1"/>
  <c r="X17" i="1"/>
  <c r="W17" i="1"/>
  <c r="V17" i="1"/>
  <c r="U17" i="1"/>
  <c r="T17" i="1"/>
  <c r="X16" i="1"/>
  <c r="W16" i="1"/>
  <c r="V16" i="1"/>
  <c r="U16" i="1"/>
  <c r="T16" i="1"/>
  <c r="X15" i="1"/>
  <c r="W15" i="1"/>
  <c r="V15" i="1"/>
  <c r="U15" i="1"/>
  <c r="T15" i="1"/>
  <c r="Q17" i="1"/>
  <c r="P17" i="1"/>
  <c r="O17" i="1"/>
  <c r="N17" i="1"/>
  <c r="M17" i="1"/>
  <c r="Q16" i="1"/>
  <c r="P16" i="1"/>
  <c r="O16" i="1"/>
  <c r="N16" i="1"/>
  <c r="M16" i="1"/>
  <c r="Q15" i="1"/>
  <c r="P15" i="1"/>
  <c r="O15" i="1"/>
  <c r="N15" i="1"/>
  <c r="M15" i="1"/>
  <c r="J17" i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AH14" i="1"/>
  <c r="AG14" i="1"/>
  <c r="AF14" i="1"/>
  <c r="AE14" i="1"/>
  <c r="AD14" i="1"/>
  <c r="AH13" i="1"/>
  <c r="AG13" i="1"/>
  <c r="AF13" i="1"/>
  <c r="AE13" i="1"/>
  <c r="AD13" i="1"/>
  <c r="AH12" i="1"/>
  <c r="AG12" i="1"/>
  <c r="AF12" i="1"/>
  <c r="AE12" i="1"/>
  <c r="AD12" i="1"/>
  <c r="AA14" i="1"/>
  <c r="Z14" i="1"/>
  <c r="Y14" i="1"/>
  <c r="X14" i="1"/>
  <c r="W14" i="1"/>
  <c r="AA13" i="1"/>
  <c r="Z13" i="1"/>
  <c r="Y13" i="1"/>
  <c r="X13" i="1"/>
  <c r="W13" i="1"/>
  <c r="AA12" i="1"/>
  <c r="Z12" i="1"/>
  <c r="Y12" i="1"/>
  <c r="X12" i="1"/>
  <c r="W12" i="1"/>
  <c r="T14" i="1"/>
  <c r="S14" i="1"/>
  <c r="R14" i="1"/>
  <c r="Q14" i="1"/>
  <c r="P14" i="1"/>
  <c r="T13" i="1"/>
  <c r="S13" i="1"/>
  <c r="R13" i="1"/>
  <c r="Q13" i="1"/>
  <c r="P13" i="1"/>
  <c r="T12" i="1"/>
  <c r="S12" i="1"/>
  <c r="R12" i="1"/>
  <c r="Q12" i="1"/>
  <c r="P12" i="1"/>
  <c r="M14" i="1"/>
  <c r="L14" i="1"/>
  <c r="K14" i="1"/>
  <c r="J14" i="1"/>
  <c r="I14" i="1"/>
  <c r="M13" i="1"/>
  <c r="L13" i="1"/>
  <c r="K13" i="1"/>
  <c r="J13" i="1"/>
  <c r="I13" i="1"/>
  <c r="M12" i="1"/>
  <c r="L12" i="1"/>
  <c r="K12" i="1"/>
  <c r="J12" i="1"/>
  <c r="I12" i="1"/>
  <c r="F14" i="1"/>
  <c r="E14" i="1"/>
  <c r="F13" i="1"/>
  <c r="E13" i="1"/>
  <c r="F12" i="1"/>
  <c r="E12" i="1"/>
  <c r="AI11" i="1"/>
  <c r="AH11" i="1"/>
  <c r="AG11" i="1"/>
  <c r="AI10" i="1"/>
  <c r="AH10" i="1"/>
  <c r="AG10" i="1"/>
  <c r="AI9" i="1"/>
  <c r="AH9" i="1"/>
  <c r="AG9" i="1"/>
  <c r="AD11" i="1"/>
  <c r="AC11" i="1"/>
  <c r="AB11" i="1"/>
  <c r="AA11" i="1"/>
  <c r="Z11" i="1"/>
  <c r="AD10" i="1"/>
  <c r="AC10" i="1"/>
  <c r="AB10" i="1"/>
  <c r="AA10" i="1"/>
  <c r="Z10" i="1"/>
  <c r="AD9" i="1"/>
  <c r="AC9" i="1"/>
  <c r="AB9" i="1"/>
  <c r="AA9" i="1"/>
  <c r="Z9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AF8" i="1"/>
  <c r="AE8" i="1"/>
  <c r="AD8" i="1"/>
  <c r="AC8" i="1"/>
  <c r="AB8" i="1"/>
  <c r="AF7" i="1"/>
  <c r="AE7" i="1"/>
  <c r="AD7" i="1"/>
  <c r="AC7" i="1"/>
  <c r="AB7" i="1"/>
  <c r="AF6" i="1"/>
  <c r="AE6" i="1"/>
  <c r="AD6" i="1"/>
  <c r="AC6" i="1"/>
  <c r="AB6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R8" i="1"/>
  <c r="Q8" i="1"/>
  <c r="P8" i="1"/>
  <c r="O8" i="1"/>
  <c r="N8" i="1"/>
  <c r="R6" i="1"/>
  <c r="Q6" i="1"/>
  <c r="P6" i="1"/>
  <c r="O6" i="1"/>
  <c r="N6" i="1"/>
  <c r="R7" i="1"/>
  <c r="Q7" i="1"/>
  <c r="P7" i="1"/>
  <c r="O7" i="1"/>
  <c r="N7" i="1"/>
  <c r="K8" i="1"/>
  <c r="K7" i="1"/>
  <c r="K6" i="1"/>
  <c r="H6" i="1"/>
  <c r="I6" i="1"/>
  <c r="J6" i="1"/>
  <c r="H7" i="1"/>
  <c r="I7" i="1"/>
  <c r="J7" i="1"/>
  <c r="H8" i="1"/>
  <c r="I8" i="1"/>
  <c r="J8" i="1"/>
  <c r="G6" i="1"/>
  <c r="G7" i="1"/>
  <c r="G8" i="1"/>
  <c r="C70" i="1"/>
  <c r="D70" i="1"/>
  <c r="C71" i="1"/>
  <c r="D71" i="1"/>
  <c r="C72" i="1"/>
  <c r="D72" i="1"/>
  <c r="C73" i="1"/>
  <c r="D73" i="1"/>
  <c r="C74" i="1"/>
  <c r="D74" i="1"/>
  <c r="C75" i="1"/>
  <c r="C76" i="1"/>
  <c r="D76" i="1"/>
  <c r="C51" i="1"/>
  <c r="D51" i="1"/>
  <c r="C52" i="1"/>
  <c r="D52" i="1"/>
  <c r="D53" i="1"/>
  <c r="C54" i="1"/>
  <c r="D54" i="1"/>
  <c r="C55" i="1"/>
  <c r="D55" i="1"/>
  <c r="D56" i="1"/>
  <c r="C57" i="1"/>
  <c r="D57" i="1"/>
  <c r="C58" i="1"/>
  <c r="D58" i="1"/>
  <c r="D59" i="1"/>
  <c r="C60" i="1"/>
  <c r="D60" i="1"/>
  <c r="C61" i="1"/>
  <c r="D61" i="1"/>
  <c r="D62" i="1"/>
  <c r="C63" i="1"/>
  <c r="D63" i="1"/>
  <c r="C64" i="1"/>
  <c r="D64" i="1"/>
  <c r="D65" i="1"/>
  <c r="C66" i="1"/>
  <c r="D66" i="1"/>
  <c r="C67" i="1"/>
  <c r="D67" i="1"/>
  <c r="D68" i="1"/>
  <c r="C69" i="1"/>
  <c r="D69" i="1"/>
  <c r="C9" i="1"/>
  <c r="D9" i="1"/>
  <c r="C10" i="1"/>
  <c r="D10" i="1"/>
  <c r="D11" i="1"/>
  <c r="C12" i="1"/>
  <c r="D12" i="1"/>
  <c r="C13" i="1"/>
  <c r="D13" i="1"/>
  <c r="D14" i="1"/>
  <c r="C15" i="1"/>
  <c r="D15" i="1"/>
  <c r="C16" i="1"/>
  <c r="D16" i="1"/>
  <c r="D17" i="1"/>
  <c r="C18" i="1"/>
  <c r="D18" i="1"/>
  <c r="C19" i="1"/>
  <c r="D19" i="1"/>
  <c r="D20" i="1"/>
  <c r="C21" i="1"/>
  <c r="D21" i="1"/>
  <c r="C22" i="1"/>
  <c r="D22" i="1"/>
  <c r="D23" i="1"/>
  <c r="C24" i="1"/>
  <c r="D24" i="1"/>
  <c r="C25" i="1"/>
  <c r="D25" i="1"/>
  <c r="D26" i="1"/>
  <c r="C27" i="1"/>
  <c r="D27" i="1"/>
  <c r="C28" i="1"/>
  <c r="D28" i="1"/>
  <c r="D29" i="1"/>
  <c r="C30" i="1"/>
  <c r="D30" i="1"/>
  <c r="C31" i="1"/>
  <c r="D31" i="1"/>
  <c r="D32" i="1"/>
  <c r="C33" i="1"/>
  <c r="D33" i="1"/>
  <c r="C34" i="1"/>
  <c r="D34" i="1"/>
  <c r="D35" i="1"/>
  <c r="C36" i="1"/>
  <c r="D36" i="1"/>
  <c r="C37" i="1"/>
  <c r="D37" i="1"/>
  <c r="D38" i="1"/>
  <c r="C39" i="1"/>
  <c r="D39" i="1"/>
  <c r="C40" i="1"/>
  <c r="D40" i="1"/>
  <c r="D41" i="1"/>
  <c r="C42" i="1"/>
  <c r="D42" i="1"/>
  <c r="C43" i="1"/>
  <c r="D43" i="1"/>
  <c r="D44" i="1"/>
  <c r="C45" i="1"/>
  <c r="D45" i="1"/>
  <c r="C46" i="1"/>
  <c r="D46" i="1"/>
  <c r="D47" i="1"/>
  <c r="C48" i="1"/>
  <c r="D48" i="1"/>
  <c r="C49" i="1"/>
  <c r="D49" i="1"/>
  <c r="D50" i="1"/>
  <c r="AN6" i="1"/>
  <c r="B6" i="1" s="1"/>
  <c r="AN8" i="1"/>
  <c r="B12" i="1" s="1"/>
  <c r="AN9" i="1"/>
  <c r="B15" i="1" s="1"/>
  <c r="AN10" i="1"/>
  <c r="B19" i="1" s="1"/>
  <c r="AN11" i="1"/>
  <c r="B22" i="1" s="1"/>
  <c r="AN12" i="1"/>
  <c r="B24" i="1" s="1"/>
  <c r="AN13" i="1"/>
  <c r="B27" i="1" s="1"/>
  <c r="AN14" i="1"/>
  <c r="B30" i="1" s="1"/>
  <c r="AN15" i="1"/>
  <c r="B34" i="1" s="1"/>
  <c r="AN16" i="1"/>
  <c r="B36" i="1" s="1"/>
  <c r="AN17" i="1"/>
  <c r="B39" i="1" s="1"/>
  <c r="AN18" i="1"/>
  <c r="B42" i="1" s="1"/>
  <c r="AN19" i="1"/>
  <c r="B46" i="1" s="1"/>
  <c r="AN20" i="1"/>
  <c r="B48" i="1" s="1"/>
  <c r="AN21" i="1"/>
  <c r="B51" i="1" s="1"/>
  <c r="AN22" i="1"/>
  <c r="B54" i="1" s="1"/>
  <c r="AN23" i="1"/>
  <c r="B57" i="1" s="1"/>
  <c r="AN24" i="1"/>
  <c r="B60" i="1" s="1"/>
  <c r="AN25" i="1"/>
  <c r="B63" i="1" s="1"/>
  <c r="AN26" i="1"/>
  <c r="B66" i="1" s="1"/>
  <c r="AN27" i="1"/>
  <c r="B69" i="1" s="1"/>
  <c r="AN28" i="1"/>
  <c r="B72" i="1" s="1"/>
  <c r="AN29" i="1"/>
  <c r="B75" i="1" s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" i="1"/>
  <c r="B9" i="1" s="1"/>
  <c r="D7" i="1"/>
  <c r="C7" i="1"/>
  <c r="D6" i="1"/>
  <c r="D8" i="1"/>
  <c r="C6" i="1"/>
  <c r="A68" i="1" l="1"/>
  <c r="A56" i="1"/>
  <c r="A67" i="1"/>
  <c r="A55" i="1"/>
  <c r="A37" i="1"/>
  <c r="A65" i="1"/>
  <c r="A53" i="1"/>
  <c r="A76" i="1"/>
  <c r="A64" i="1"/>
  <c r="A52" i="1"/>
  <c r="A74" i="1"/>
  <c r="A62" i="1"/>
  <c r="A50" i="1"/>
  <c r="A73" i="1"/>
  <c r="A61" i="1"/>
  <c r="A49" i="1"/>
  <c r="A71" i="1"/>
  <c r="A59" i="1"/>
  <c r="A47" i="1"/>
  <c r="A70" i="1"/>
  <c r="A58" i="1"/>
  <c r="A46" i="1"/>
  <c r="A25" i="1"/>
  <c r="A36" i="1"/>
  <c r="A24" i="1"/>
  <c r="A35" i="1"/>
  <c r="A23" i="1"/>
  <c r="A34" i="1"/>
  <c r="A22" i="1"/>
  <c r="A44" i="1"/>
  <c r="A32" i="1"/>
  <c r="A20" i="1"/>
  <c r="A43" i="1"/>
  <c r="A31" i="1"/>
  <c r="A19" i="1"/>
  <c r="A41" i="1"/>
  <c r="A29" i="1"/>
  <c r="A17" i="1"/>
  <c r="A40" i="1"/>
  <c r="A28" i="1"/>
  <c r="A16" i="1"/>
  <c r="A14" i="1"/>
  <c r="A13" i="1"/>
  <c r="A11" i="1"/>
  <c r="A10" i="1"/>
  <c r="A8" i="1"/>
  <c r="A7" i="1"/>
  <c r="B18" i="1"/>
  <c r="B76" i="1"/>
  <c r="B74" i="1"/>
  <c r="B73" i="1"/>
  <c r="B71" i="1"/>
  <c r="B59" i="1"/>
  <c r="B70" i="1"/>
  <c r="B58" i="1"/>
  <c r="B68" i="1"/>
  <c r="B56" i="1"/>
  <c r="B67" i="1"/>
  <c r="B55" i="1"/>
  <c r="B65" i="1"/>
  <c r="B53" i="1"/>
  <c r="B64" i="1"/>
  <c r="B52" i="1"/>
  <c r="B33" i="1"/>
  <c r="B62" i="1"/>
  <c r="B50" i="1"/>
  <c r="B20" i="1"/>
  <c r="B61" i="1"/>
  <c r="B49" i="1"/>
  <c r="B45" i="1"/>
  <c r="B21" i="1"/>
  <c r="B44" i="1"/>
  <c r="B32" i="1"/>
  <c r="B43" i="1"/>
  <c r="B31" i="1"/>
  <c r="B41" i="1"/>
  <c r="B29" i="1"/>
  <c r="B17" i="1"/>
  <c r="B40" i="1"/>
  <c r="B28" i="1"/>
  <c r="B16" i="1"/>
  <c r="B38" i="1"/>
  <c r="B26" i="1"/>
  <c r="B14" i="1"/>
  <c r="B37" i="1"/>
  <c r="B25" i="1"/>
  <c r="B13" i="1"/>
  <c r="B47" i="1"/>
  <c r="B35" i="1"/>
  <c r="B23" i="1"/>
  <c r="B11" i="1"/>
  <c r="B10" i="1"/>
  <c r="B8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<sst xmlns="http://schemas.openxmlformats.org/spreadsheetml/2006/main" count="12" uniqueCount="12">
  <si>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B</t>
  </si>
  <si>
    <t>A</t>
  </si>
  <si>
    <t>C</t>
  </si>
  <si>
    <t>Month</t>
  </si>
  <si>
    <t>Days</t>
  </si>
  <si>
    <t>Shift Times</t>
  </si>
  <si>
    <t>Reference Data</t>
  </si>
  <si>
    <t>Year</t>
  </si>
  <si>
    <t>Is Ignored</t>
  </si>
  <si>
    <t>Labels</t>
  </si>
  <si>
    <t>Shift Reference</t>
  </si>
  <si>
    <r>
      <t xml:space="preserve">IMPORTANT!
1. </t>
    </r>
    <r>
      <rPr>
        <u/>
        <sz val="14"/>
        <color theme="1"/>
        <rFont val="Aptos Narrow (Body)"/>
      </rPr>
      <t>Shift Times</t>
    </r>
    <r>
      <rPr>
        <sz val="14"/>
        <color theme="1"/>
        <rFont val="Aptos Narrow"/>
        <scheme val="minor"/>
      </rPr>
      <t xml:space="preserve"> </t>
    </r>
    <r>
      <rPr>
        <b/>
        <sz val="14"/>
        <color theme="1"/>
        <rFont val="Aptos Narrow"/>
        <scheme val="minor"/>
      </rPr>
      <t>must</t>
    </r>
    <r>
      <rPr>
        <sz val="14"/>
        <color theme="1"/>
        <rFont val="Aptos Narrow"/>
        <scheme val="minor"/>
      </rPr>
      <t xml:space="preserve"> be the TIME formula
2. </t>
    </r>
    <r>
      <rPr>
        <u/>
        <sz val="14"/>
        <color theme="1"/>
        <rFont val="Aptos Narrow (Body)"/>
      </rPr>
      <t>Month</t>
    </r>
    <r>
      <rPr>
        <sz val="14"/>
        <color theme="1"/>
        <rFont val="Aptos Narrow"/>
        <scheme val="minor"/>
      </rPr>
      <t xml:space="preserve"> </t>
    </r>
    <r>
      <rPr>
        <b/>
        <sz val="14"/>
        <color theme="1"/>
        <rFont val="Aptos Narrow"/>
        <scheme val="minor"/>
      </rPr>
      <t>must</t>
    </r>
    <r>
      <rPr>
        <sz val="14"/>
        <color theme="1"/>
        <rFont val="Aptos Narrow"/>
        <scheme val="minor"/>
      </rPr>
      <t xml:space="preserve"> be a reference to the </t>
    </r>
    <r>
      <rPr>
        <b/>
        <sz val="14"/>
        <color theme="1"/>
        <rFont val="Aptos Narrow"/>
        <scheme val="minor"/>
      </rPr>
      <t>AN</t>
    </r>
    <r>
      <rPr>
        <sz val="14"/>
        <color theme="1"/>
        <rFont val="Aptos Narrow"/>
        <scheme val="minor"/>
      </rPr>
      <t xml:space="preserve"> column
3. </t>
    </r>
    <r>
      <rPr>
        <u/>
        <sz val="14"/>
        <color theme="1"/>
        <rFont val="Aptos Narrow (Body)"/>
      </rPr>
      <t>Shift Labels</t>
    </r>
    <r>
      <rPr>
        <sz val="14"/>
        <color theme="1"/>
        <rFont val="Aptos Narrow"/>
        <scheme val="minor"/>
      </rPr>
      <t xml:space="preserve"> must be references to the values in the </t>
    </r>
    <r>
      <rPr>
        <b/>
        <sz val="14"/>
        <color theme="1"/>
        <rFont val="Aptos Narrow"/>
        <scheme val="minor"/>
      </rPr>
      <t>AJ</t>
    </r>
    <r>
      <rPr>
        <sz val="14"/>
        <color theme="1"/>
        <rFont val="Aptos Narrow"/>
        <scheme val="minor"/>
      </rPr>
      <t xml:space="preserve"> column
4. Factbird support imports this </t>
    </r>
    <r>
      <rPr>
        <b/>
        <sz val="14"/>
        <color theme="1"/>
        <rFont val="Aptos Narrow"/>
        <scheme val="minor"/>
      </rPr>
      <t>once</t>
    </r>
    <r>
      <rPr>
        <sz val="14"/>
        <color theme="1"/>
        <rFont val="Aptos Narrow"/>
        <scheme val="minor"/>
      </rPr>
      <t xml:space="preserve"> - make sure it's correct!
5. Shifts cannot overlap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</si>
</sst>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4"/>
      <color theme="1"/>
      <name val="Aptos Narrow"/>
      <scheme val="minor"/>
    </font>
    <font>
      <u/>
      <sz val="14"/>
      <color theme="1"/>
      <name val="Aptos Narrow (Body)"/>
    </font>
    <font>
      <b/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vertical="top"/>
    </xf>
    <xf numFmtId="0" fontId="4" fillId="3" borderId="0" xfId="0" applyFont="1" applyFill="1"/>
    <xf numFmtId="0" fontId="3" fillId="5" borderId="2" xfId="0" applyFont="1" applyFill="1" applyBorder="1"/>
    <xf numFmtId="0" fontId="4" fillId="2" borderId="2" xfId="0" applyFont="1" applyFill="1" applyBorder="1"/>
    <xf numFmtId="0" fontId="4" fillId="4" borderId="2" xfId="0" applyFont="1" applyFill="1" applyBorder="1" applyAlignment="1">
      <alignment horizontal="center"/>
    </xf>
    <xf numFmtId="0" fontId="3" fillId="5" borderId="3" xfId="0" applyFont="1" applyFill="1" applyBorder="1"/>
    <xf numFmtId="0" fontId="4" fillId="3" borderId="3" xfId="0" applyFont="1" applyFill="1" applyBorder="1"/>
    <xf numFmtId="0" fontId="4" fillId="2" borderId="3" xfId="0" applyFont="1" applyFill="1" applyBorder="1"/>
    <xf numFmtId="0" fontId="4" fillId="4" borderId="3" xfId="0" applyFont="1" applyFill="1" applyBorder="1"/>
    <xf numFmtId="0" fontId="2" fillId="4" borderId="3" xfId="0" applyFont="1" applyFill="1" applyBorder="1"/>
    <xf numFmtId="0" fontId="3" fillId="4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8" fontId="3" fillId="0" borderId="6" xfId="0" applyNumberFormat="1" applyFont="1" applyBorder="1"/>
    <xf numFmtId="14" fontId="3" fillId="0" borderId="7" xfId="0" applyNumberFormat="1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8" fontId="3" fillId="0" borderId="0" xfId="0" applyNumberFormat="1" applyFont="1"/>
    <xf numFmtId="18" fontId="3" fillId="0" borderId="3" xfId="0" applyNumberFormat="1" applyFont="1" applyBorder="1"/>
    <xf numFmtId="0" fontId="4" fillId="6" borderId="1" xfId="0" applyFont="1" applyFill="1" applyBorder="1"/>
    <xf numFmtId="0" fontId="4" fillId="6" borderId="8" xfId="0" applyFont="1" applyFill="1" applyBorder="1"/>
    <xf numFmtId="0" fontId="3" fillId="0" borderId="1" xfId="0" applyFont="1" applyBorder="1"/>
    <xf numFmtId="0" fontId="3" fillId="0" borderId="7" xfId="0" applyFont="1" applyBorder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3" fillId="0" borderId="0" xfId="0" applyFont="1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940F-6E7E-45CF-8D42-E478282D1F95}">
  <dimension ref="A1:BZ458"/>
  <sheetViews>
    <sheetView tabSelected="1" workbookViewId="0">
      <selection activeCell="W12" sqref="W12"/>
    </sheetView>
  </sheetViews>
  <sheetFormatPr baseColWidth="10" defaultColWidth="8.83203125" defaultRowHeight="15" x14ac:dyDescent="0.2"/>
  <cols>
    <col min="1" max="1" width="5.1640625" style="1" bestFit="1" customWidth="1"/>
    <col min="2" max="2" width="9.1640625" style="1" bestFit="1" customWidth="1"/>
    <col min="3" max="3" width="9.83203125" style="1" bestFit="1" customWidth="1"/>
    <col min="4" max="4" width="8.33203125" style="1" bestFit="1" customWidth="1"/>
    <col min="5" max="35" width="5.83203125" style="1" customWidth="1"/>
    <col min="36" max="36" width="13.1640625" style="1" bestFit="1" customWidth="1"/>
    <col min="37" max="37" width="8.83203125" style="1" bestFit="1" customWidth="1"/>
    <col min="38" max="38" width="10.33203125" style="1" customWidth="1"/>
    <col min="39" max="39" width="5.83203125" style="1" customWidth="1"/>
    <col min="40" max="40" width="18.6640625" style="1" bestFit="1" customWidth="1"/>
    <col min="41" max="41" width="8.83203125" style="1"/>
    <col min="42" max="42" width="9.5" style="1" customWidth="1"/>
    <col min="43" max="43" width="27.33203125" style="1" bestFit="1" customWidth="1"/>
    <col min="44" max="16384" width="8.83203125" style="1"/>
  </cols>
  <sheetData>
    <row r="1" spans="1:78" ht="55" customHeight="1" x14ac:dyDescent="0.2">
      <c r="B1" s="30"/>
      <c r="C1" s="30"/>
      <c r="D1" s="30"/>
      <c r="E1" s="28" t="s">
        <v>11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30"/>
      <c r="AK1" s="30"/>
      <c r="AL1" s="30"/>
      <c r="AM1" s="30"/>
      <c r="AN1" s="30"/>
    </row>
    <row r="2" spans="1:78" ht="15" customHeight="1" x14ac:dyDescent="0.2">
      <c r="A2" s="30"/>
      <c r="B2" s="29" t="s">
        <v>8</v>
      </c>
      <c r="C2" s="29"/>
      <c r="D2" s="30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30"/>
      <c r="AK2" s="30"/>
      <c r="AL2" s="30"/>
      <c r="AM2" s="30"/>
      <c r="AN2" s="30"/>
    </row>
    <row r="3" spans="1:78" ht="64" customHeight="1" x14ac:dyDescent="0.2">
      <c r="A3" s="30"/>
      <c r="B3" s="30"/>
      <c r="C3" s="30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0"/>
      <c r="AK3" s="30"/>
      <c r="AL3" s="30"/>
      <c r="AM3" s="30"/>
      <c r="AN3" s="30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x14ac:dyDescent="0.2">
      <c r="A4" s="24" t="s">
        <v>7</v>
      </c>
      <c r="B4" s="11" t="s">
        <v>3</v>
      </c>
      <c r="C4" s="12" t="s">
        <v>5</v>
      </c>
      <c r="D4" s="16"/>
      <c r="E4" s="13" t="s">
        <v>4</v>
      </c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5" t="s">
        <v>10</v>
      </c>
      <c r="AK4"/>
      <c r="AL4" s="33" t="s">
        <v>6</v>
      </c>
      <c r="AM4" s="10"/>
      <c r="AN4" s="35"/>
      <c r="AQ4"/>
      <c r="AR4"/>
      <c r="AS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x14ac:dyDescent="0.2">
      <c r="A5" s="25"/>
      <c r="B5" s="6"/>
      <c r="C5" s="8"/>
      <c r="D5" s="17"/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>
        <v>29</v>
      </c>
      <c r="AH5" s="9">
        <v>30</v>
      </c>
      <c r="AI5" s="9">
        <v>31</v>
      </c>
      <c r="AJ5" s="3" t="s">
        <v>9</v>
      </c>
      <c r="AK5"/>
      <c r="AL5" s="34"/>
      <c r="AM5" s="7"/>
      <c r="AN5" s="36"/>
      <c r="AQ5"/>
      <c r="AR5"/>
      <c r="AS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x14ac:dyDescent="0.2">
      <c r="A6" s="26" t="str">
        <f ca="1">OFFSET(AM$6,INT((ROW()-3)/3)-1,0)</f>
        <v>2025</v>
      </c>
      <c r="B6" s="19" t="str">
        <f ca="1">OFFSET(AN$6,INT((ROW()-3)/3)-1,0)</f>
        <v>November</v>
      </c>
      <c r="C6" s="23">
        <f>TIME(6,0,0)</f>
        <v>0.25</v>
      </c>
      <c r="D6" s="18">
        <f>TIME(14,0,0)</f>
        <v>0.58333333333333337</v>
      </c>
      <c r="E6" s="20"/>
      <c r="F6" s="20"/>
      <c r="G6" s="20" t="str">
        <f>$AJ$8</f>
        <v>C</v>
      </c>
      <c r="H6" s="20" t="str">
        <f>$AJ$8</f>
        <v>C</v>
      </c>
      <c r="I6" s="20" t="str">
        <f>$AJ$8</f>
        <v>C</v>
      </c>
      <c r="J6" s="20" t="str">
        <f>$AJ$8</f>
        <v>C</v>
      </c>
      <c r="K6" s="20" t="str">
        <f>$AJ$8</f>
        <v>C</v>
      </c>
      <c r="L6" s="20"/>
      <c r="M6" s="20"/>
      <c r="N6" s="20" t="str">
        <f>$AJ$7</f>
        <v>B</v>
      </c>
      <c r="O6" s="20" t="str">
        <f>$AJ$7</f>
        <v>B</v>
      </c>
      <c r="P6" s="20" t="str">
        <f>$AJ$7</f>
        <v>B</v>
      </c>
      <c r="Q6" s="20" t="str">
        <f>$AJ$7</f>
        <v>B</v>
      </c>
      <c r="R6" s="20" t="str">
        <f>$AJ$7</f>
        <v>B</v>
      </c>
      <c r="S6" s="20"/>
      <c r="T6" s="20"/>
      <c r="U6" s="20" t="str">
        <f>$AJ$6</f>
        <v>A</v>
      </c>
      <c r="V6" s="20" t="str">
        <f>$AJ$6</f>
        <v>A</v>
      </c>
      <c r="W6" s="20" t="str">
        <f>$AJ$6</f>
        <v>A</v>
      </c>
      <c r="X6" s="20" t="str">
        <f>$AJ$6</f>
        <v>A</v>
      </c>
      <c r="Y6" s="20" t="str">
        <f>$AJ$6</f>
        <v>A</v>
      </c>
      <c r="Z6" s="20"/>
      <c r="AA6" s="20"/>
      <c r="AB6" s="20" t="str">
        <f>$AJ$8</f>
        <v>C</v>
      </c>
      <c r="AC6" s="20" t="str">
        <f>$AJ$8</f>
        <v>C</v>
      </c>
      <c r="AD6" s="20" t="str">
        <f>$AJ$8</f>
        <v>C</v>
      </c>
      <c r="AE6" s="20" t="str">
        <f>$AJ$8</f>
        <v>C</v>
      </c>
      <c r="AF6" s="20" t="str">
        <f>$AJ$8</f>
        <v>C</v>
      </c>
      <c r="AG6" s="20"/>
      <c r="AH6" s="20"/>
      <c r="AI6" s="20"/>
      <c r="AJ6" s="4" t="s">
        <v>1</v>
      </c>
      <c r="AK6"/>
      <c r="AL6" s="37">
        <v>0</v>
      </c>
      <c r="AM6" s="1" t="str">
        <f ca="1">TEXT(EDATE(TODAY(),AL6),"e")</f>
        <v>2025</v>
      </c>
      <c r="AN6" s="2" t="str">
        <f ca="1">TEXT(EDATE(TODAY(),AL6),"MMMM")</f>
        <v>November</v>
      </c>
      <c r="AQ6"/>
      <c r="AR6"/>
      <c r="AS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x14ac:dyDescent="0.2">
      <c r="A7" s="27" t="str">
        <f ca="1">OFFSET(AM$6,INT((ROW()-3)/3)-1,0)</f>
        <v>2025</v>
      </c>
      <c r="B7" s="19" t="str">
        <f ca="1">OFFSET(AN$6,INT((ROW()-3)/3)-1,0)</f>
        <v>November</v>
      </c>
      <c r="C7" s="22">
        <f>TIME(14,0,0)</f>
        <v>0.58333333333333337</v>
      </c>
      <c r="D7" s="18">
        <f>TIME(22,0,0)</f>
        <v>0.91666666666666663</v>
      </c>
      <c r="E7" s="20"/>
      <c r="F7" s="20"/>
      <c r="G7" s="20" t="str">
        <f>$AJ$7</f>
        <v>B</v>
      </c>
      <c r="H7" s="20" t="str">
        <f>$AJ$7</f>
        <v>B</v>
      </c>
      <c r="I7" s="20" t="str">
        <f>$AJ$7</f>
        <v>B</v>
      </c>
      <c r="J7" s="20" t="str">
        <f>$AJ$7</f>
        <v>B</v>
      </c>
      <c r="K7" s="20" t="str">
        <f>$AJ$7</f>
        <v>B</v>
      </c>
      <c r="L7" s="20"/>
      <c r="M7" s="20"/>
      <c r="N7" s="20" t="str">
        <f>$AJ$6</f>
        <v>A</v>
      </c>
      <c r="O7" s="20" t="str">
        <f>$AJ$6</f>
        <v>A</v>
      </c>
      <c r="P7" s="20" t="str">
        <f>$AJ$6</f>
        <v>A</v>
      </c>
      <c r="Q7" s="20" t="str">
        <f>$AJ$6</f>
        <v>A</v>
      </c>
      <c r="R7" s="20" t="str">
        <f>$AJ$6</f>
        <v>A</v>
      </c>
      <c r="S7" s="20"/>
      <c r="T7" s="20"/>
      <c r="U7" s="20" t="str">
        <f>$AJ$8</f>
        <v>C</v>
      </c>
      <c r="V7" s="20" t="str">
        <f>$AJ$8</f>
        <v>C</v>
      </c>
      <c r="W7" s="20" t="str">
        <f>$AJ$8</f>
        <v>C</v>
      </c>
      <c r="X7" s="20" t="str">
        <f>$AJ$8</f>
        <v>C</v>
      </c>
      <c r="Y7" s="20" t="str">
        <f>$AJ$8</f>
        <v>C</v>
      </c>
      <c r="Z7" s="20"/>
      <c r="AA7" s="20"/>
      <c r="AB7" s="20" t="str">
        <f>$AJ$7</f>
        <v>B</v>
      </c>
      <c r="AC7" s="20" t="str">
        <f>$AJ$7</f>
        <v>B</v>
      </c>
      <c r="AD7" s="20" t="str">
        <f>$AJ$7</f>
        <v>B</v>
      </c>
      <c r="AE7" s="20" t="str">
        <f>$AJ$7</f>
        <v>B</v>
      </c>
      <c r="AF7" s="20" t="str">
        <f>$AJ$7</f>
        <v>B</v>
      </c>
      <c r="AG7" s="20"/>
      <c r="AH7" s="20"/>
      <c r="AI7" s="20"/>
      <c r="AJ7" s="4" t="s">
        <v>0</v>
      </c>
      <c r="AL7" s="37">
        <v>1</v>
      </c>
      <c r="AM7" s="1" t="str">
        <f ca="1">TEXT(EDATE(TODAY(),AL7),"e")</f>
        <v>2025</v>
      </c>
      <c r="AN7" s="2" t="str">
        <f ca="1">TEXT(EDATE(TODAY(),AL7),"MMMM")</f>
        <v>December</v>
      </c>
      <c r="AQ7"/>
      <c r="BX7"/>
      <c r="BY7"/>
      <c r="BZ7"/>
    </row>
    <row r="8" spans="1:78" x14ac:dyDescent="0.2">
      <c r="A8" s="27" t="str">
        <f ca="1">OFFSET(AM$6,INT((ROW()-3)/3)-1,0)</f>
        <v>2025</v>
      </c>
      <c r="B8" s="19" t="str">
        <f ca="1">OFFSET(AN$6,INT((ROW()-3)/3)-1,0)</f>
        <v>November</v>
      </c>
      <c r="C8" s="22">
        <f>TIME(22,0,0)</f>
        <v>0.91666666666666663</v>
      </c>
      <c r="D8" s="18">
        <f>TIME(6,0,0)</f>
        <v>0.25</v>
      </c>
      <c r="E8" s="20"/>
      <c r="F8" s="20"/>
      <c r="G8" s="20" t="str">
        <f>$AJ$6</f>
        <v>A</v>
      </c>
      <c r="H8" s="20" t="str">
        <f>$AJ$6</f>
        <v>A</v>
      </c>
      <c r="I8" s="20" t="str">
        <f>$AJ$6</f>
        <v>A</v>
      </c>
      <c r="J8" s="20" t="str">
        <f>$AJ$6</f>
        <v>A</v>
      </c>
      <c r="K8" s="20" t="str">
        <f>$AJ$6</f>
        <v>A</v>
      </c>
      <c r="L8" s="20"/>
      <c r="M8" s="20"/>
      <c r="N8" s="20" t="str">
        <f>$AJ$8</f>
        <v>C</v>
      </c>
      <c r="O8" s="20" t="str">
        <f>$AJ$8</f>
        <v>C</v>
      </c>
      <c r="P8" s="20" t="str">
        <f>$AJ$8</f>
        <v>C</v>
      </c>
      <c r="Q8" s="20" t="str">
        <f>$AJ$8</f>
        <v>C</v>
      </c>
      <c r="R8" s="20" t="str">
        <f>$AJ$8</f>
        <v>C</v>
      </c>
      <c r="S8" s="20"/>
      <c r="T8" s="20"/>
      <c r="U8" s="20" t="str">
        <f>$AJ$7</f>
        <v>B</v>
      </c>
      <c r="V8" s="20" t="str">
        <f>$AJ$7</f>
        <v>B</v>
      </c>
      <c r="W8" s="20" t="str">
        <f>$AJ$7</f>
        <v>B</v>
      </c>
      <c r="X8" s="20" t="str">
        <f>$AJ$7</f>
        <v>B</v>
      </c>
      <c r="Y8" s="20" t="str">
        <f>$AJ$7</f>
        <v>B</v>
      </c>
      <c r="Z8" s="20"/>
      <c r="AA8" s="20"/>
      <c r="AB8" s="20" t="str">
        <f>$AJ$6</f>
        <v>A</v>
      </c>
      <c r="AC8" s="20" t="str">
        <f>$AJ$6</f>
        <v>A</v>
      </c>
      <c r="AD8" s="20" t="str">
        <f>$AJ$6</f>
        <v>A</v>
      </c>
      <c r="AE8" s="20" t="str">
        <f>$AJ$6</f>
        <v>A</v>
      </c>
      <c r="AF8" s="20" t="str">
        <f>$AJ$6</f>
        <v>A</v>
      </c>
      <c r="AG8" s="20"/>
      <c r="AH8" s="20"/>
      <c r="AI8" s="20"/>
      <c r="AJ8" s="4" t="s">
        <v>2</v>
      </c>
      <c r="AL8" s="37">
        <v>2</v>
      </c>
      <c r="AM8" s="1" t="str">
        <f ca="1">TEXT(EDATE(TODAY(),AL8),"e")</f>
        <v>2026</v>
      </c>
      <c r="AN8" s="2" t="str">
        <f ca="1">TEXT(EDATE(TODAY(),AL8),"MMMM")</f>
        <v>January</v>
      </c>
      <c r="AQ8"/>
      <c r="AR8"/>
      <c r="AS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1:78" x14ac:dyDescent="0.2">
      <c r="A9" s="27" t="str">
        <f ca="1">OFFSET(AM$6,INT((ROW()-3)/3)-1,0)</f>
        <v>2025</v>
      </c>
      <c r="B9" s="19" t="str">
        <f ca="1">OFFSET(AN$6,INT((ROW()-3)/3)-1,0)</f>
        <v>December</v>
      </c>
      <c r="C9" s="22">
        <f t="shared" ref="C9" si="0">TIME(6,0,0)</f>
        <v>0.25</v>
      </c>
      <c r="D9" s="18">
        <f t="shared" ref="D9" si="1">TIME(14,0,0)</f>
        <v>0.58333333333333337</v>
      </c>
      <c r="E9" s="20" t="str">
        <f>$AJ$7</f>
        <v>B</v>
      </c>
      <c r="F9" s="20" t="str">
        <f>$AJ$7</f>
        <v>B</v>
      </c>
      <c r="G9" s="20" t="str">
        <f>$AJ$7</f>
        <v>B</v>
      </c>
      <c r="H9" s="20" t="str">
        <f>$AJ$7</f>
        <v>B</v>
      </c>
      <c r="I9" s="20" t="str">
        <f>$AJ$7</f>
        <v>B</v>
      </c>
      <c r="J9" s="21"/>
      <c r="K9" s="21"/>
      <c r="L9" s="20" t="str">
        <f>$AJ$6</f>
        <v>A</v>
      </c>
      <c r="M9" s="20" t="str">
        <f>$AJ$6</f>
        <v>A</v>
      </c>
      <c r="N9" s="20" t="str">
        <f>$AJ$6</f>
        <v>A</v>
      </c>
      <c r="O9" s="20" t="str">
        <f>$AJ$6</f>
        <v>A</v>
      </c>
      <c r="P9" s="20" t="str">
        <f>$AJ$6</f>
        <v>A</v>
      </c>
      <c r="Q9" s="21"/>
      <c r="R9" s="21"/>
      <c r="S9" s="20" t="str">
        <f>$AJ$8</f>
        <v>C</v>
      </c>
      <c r="T9" s="20" t="str">
        <f>$AJ$8</f>
        <v>C</v>
      </c>
      <c r="U9" s="20" t="str">
        <f>$AJ$8</f>
        <v>C</v>
      </c>
      <c r="V9" s="20" t="str">
        <f>$AJ$8</f>
        <v>C</v>
      </c>
      <c r="W9" s="20" t="str">
        <f>$AJ$8</f>
        <v>C</v>
      </c>
      <c r="X9" s="21"/>
      <c r="Y9" s="21"/>
      <c r="Z9" s="20" t="str">
        <f>$AJ$7</f>
        <v>B</v>
      </c>
      <c r="AA9" s="20" t="str">
        <f>$AJ$7</f>
        <v>B</v>
      </c>
      <c r="AB9" s="20" t="str">
        <f>$AJ$7</f>
        <v>B</v>
      </c>
      <c r="AC9" s="20" t="str">
        <f>$AJ$7</f>
        <v>B</v>
      </c>
      <c r="AD9" s="20" t="str">
        <f>$AJ$7</f>
        <v>B</v>
      </c>
      <c r="AE9" s="21"/>
      <c r="AF9" s="21"/>
      <c r="AG9" s="20" t="str">
        <f>$AJ$6</f>
        <v>A</v>
      </c>
      <c r="AH9" s="20" t="str">
        <f>$AJ$6</f>
        <v>A</v>
      </c>
      <c r="AI9" s="20" t="str">
        <f>$AJ$6</f>
        <v>A</v>
      </c>
      <c r="AJ9" s="32"/>
      <c r="AL9" s="37">
        <v>3</v>
      </c>
      <c r="AM9" s="1" t="str">
        <f ca="1">TEXT(EDATE(TODAY(),AL9),"e")</f>
        <v>2026</v>
      </c>
      <c r="AN9" s="2" t="str">
        <f ca="1">TEXT(EDATE(TODAY(),AL9),"MMMM")</f>
        <v>February</v>
      </c>
      <c r="AQ9"/>
      <c r="AR9"/>
      <c r="AS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1:78" x14ac:dyDescent="0.2">
      <c r="A10" s="27" t="str">
        <f ca="1">OFFSET(AM$6,INT((ROW()-3)/3)-1,0)</f>
        <v>2025</v>
      </c>
      <c r="B10" s="19" t="str">
        <f ca="1">OFFSET(AN$6,INT((ROW()-3)/3)-1,0)</f>
        <v>December</v>
      </c>
      <c r="C10" s="22">
        <f t="shared" ref="C10" si="2">TIME(14,0,0)</f>
        <v>0.58333333333333337</v>
      </c>
      <c r="D10" s="18">
        <f t="shared" ref="D10" si="3">TIME(22,0,0)</f>
        <v>0.91666666666666663</v>
      </c>
      <c r="E10" s="20" t="str">
        <f>$AJ$6</f>
        <v>A</v>
      </c>
      <c r="F10" s="20" t="str">
        <f>$AJ$6</f>
        <v>A</v>
      </c>
      <c r="G10" s="20" t="str">
        <f>$AJ$6</f>
        <v>A</v>
      </c>
      <c r="H10" s="20" t="str">
        <f>$AJ$6</f>
        <v>A</v>
      </c>
      <c r="I10" s="20" t="str">
        <f>$AJ$6</f>
        <v>A</v>
      </c>
      <c r="J10" s="21"/>
      <c r="K10" s="21"/>
      <c r="L10" s="20" t="str">
        <f>$AJ$8</f>
        <v>C</v>
      </c>
      <c r="M10" s="20" t="str">
        <f>$AJ$8</f>
        <v>C</v>
      </c>
      <c r="N10" s="20" t="str">
        <f>$AJ$8</f>
        <v>C</v>
      </c>
      <c r="O10" s="20" t="str">
        <f>$AJ$8</f>
        <v>C</v>
      </c>
      <c r="P10" s="20" t="str">
        <f>$AJ$8</f>
        <v>C</v>
      </c>
      <c r="Q10" s="21"/>
      <c r="R10" s="21"/>
      <c r="S10" s="20" t="str">
        <f>$AJ$7</f>
        <v>B</v>
      </c>
      <c r="T10" s="20" t="str">
        <f>$AJ$7</f>
        <v>B</v>
      </c>
      <c r="U10" s="20" t="str">
        <f>$AJ$7</f>
        <v>B</v>
      </c>
      <c r="V10" s="20" t="str">
        <f>$AJ$7</f>
        <v>B</v>
      </c>
      <c r="W10" s="20" t="str">
        <f>$AJ$7</f>
        <v>B</v>
      </c>
      <c r="X10" s="21"/>
      <c r="Y10" s="21"/>
      <c r="Z10" s="20" t="str">
        <f>$AJ$6</f>
        <v>A</v>
      </c>
      <c r="AA10" s="20" t="str">
        <f>$AJ$6</f>
        <v>A</v>
      </c>
      <c r="AB10" s="20" t="str">
        <f>$AJ$6</f>
        <v>A</v>
      </c>
      <c r="AC10" s="20" t="str">
        <f>$AJ$6</f>
        <v>A</v>
      </c>
      <c r="AD10" s="20" t="str">
        <f>$AJ$6</f>
        <v>A</v>
      </c>
      <c r="AE10" s="21"/>
      <c r="AF10" s="21"/>
      <c r="AG10" s="20" t="str">
        <f>$AJ$8</f>
        <v>C</v>
      </c>
      <c r="AH10" s="20" t="str">
        <f>$AJ$8</f>
        <v>C</v>
      </c>
      <c r="AI10" s="20" t="str">
        <f>$AJ$8</f>
        <v>C</v>
      </c>
      <c r="AJ10" s="32"/>
      <c r="AL10" s="37">
        <v>4</v>
      </c>
      <c r="AM10" s="1" t="str">
        <f ca="1">TEXT(EDATE(TODAY(),AL10),"e")</f>
        <v>2026</v>
      </c>
      <c r="AN10" s="2" t="str">
        <f ca="1">TEXT(EDATE(TODAY(),AL10),"MMMM")</f>
        <v>March</v>
      </c>
      <c r="AQ10"/>
      <c r="AR10"/>
      <c r="AS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1:78" x14ac:dyDescent="0.2">
      <c r="A11" s="27" t="str">
        <f ca="1">OFFSET(AM$6,INT((ROW()-3)/3)-1,0)</f>
        <v>2025</v>
      </c>
      <c r="B11" s="19" t="str">
        <f ca="1">OFFSET(AN$6,INT((ROW()-3)/3)-1,0)</f>
        <v>December</v>
      </c>
      <c r="C11" s="22">
        <f>TIME(22,0,0)</f>
        <v>0.91666666666666663</v>
      </c>
      <c r="D11" s="18">
        <f t="shared" ref="D11" si="4">TIME(6,0,0)</f>
        <v>0.25</v>
      </c>
      <c r="E11" s="20" t="str">
        <f>$AJ$8</f>
        <v>C</v>
      </c>
      <c r="F11" s="20" t="str">
        <f>$AJ$8</f>
        <v>C</v>
      </c>
      <c r="G11" s="20" t="str">
        <f>$AJ$8</f>
        <v>C</v>
      </c>
      <c r="H11" s="20" t="str">
        <f>$AJ$8</f>
        <v>C</v>
      </c>
      <c r="I11" s="20" t="str">
        <f>$AJ$8</f>
        <v>C</v>
      </c>
      <c r="J11" s="21"/>
      <c r="K11" s="21"/>
      <c r="L11" s="20" t="str">
        <f>$AJ$7</f>
        <v>B</v>
      </c>
      <c r="M11" s="20" t="str">
        <f>$AJ$7</f>
        <v>B</v>
      </c>
      <c r="N11" s="20" t="str">
        <f>$AJ$7</f>
        <v>B</v>
      </c>
      <c r="O11" s="20" t="str">
        <f>$AJ$7</f>
        <v>B</v>
      </c>
      <c r="P11" s="20" t="str">
        <f>$AJ$7</f>
        <v>B</v>
      </c>
      <c r="Q11" s="21"/>
      <c r="R11" s="21"/>
      <c r="S11" s="20" t="str">
        <f>$AJ$6</f>
        <v>A</v>
      </c>
      <c r="T11" s="20" t="str">
        <f>$AJ$6</f>
        <v>A</v>
      </c>
      <c r="U11" s="20" t="str">
        <f>$AJ$6</f>
        <v>A</v>
      </c>
      <c r="V11" s="20" t="str">
        <f>$AJ$6</f>
        <v>A</v>
      </c>
      <c r="W11" s="20" t="str">
        <f>$AJ$6</f>
        <v>A</v>
      </c>
      <c r="X11" s="21"/>
      <c r="Y11" s="21"/>
      <c r="Z11" s="20" t="str">
        <f>$AJ$8</f>
        <v>C</v>
      </c>
      <c r="AA11" s="20" t="str">
        <f>$AJ$8</f>
        <v>C</v>
      </c>
      <c r="AB11" s="20" t="str">
        <f>$AJ$8</f>
        <v>C</v>
      </c>
      <c r="AC11" s="20" t="str">
        <f>$AJ$8</f>
        <v>C</v>
      </c>
      <c r="AD11" s="20" t="str">
        <f>$AJ$8</f>
        <v>C</v>
      </c>
      <c r="AE11" s="21"/>
      <c r="AF11" s="21"/>
      <c r="AG11" s="20" t="str">
        <f>$AJ$7</f>
        <v>B</v>
      </c>
      <c r="AH11" s="20" t="str">
        <f>$AJ$7</f>
        <v>B</v>
      </c>
      <c r="AI11" s="20" t="str">
        <f>$AJ$7</f>
        <v>B</v>
      </c>
      <c r="AJ11" s="32"/>
      <c r="AL11" s="37">
        <v>5</v>
      </c>
      <c r="AM11" s="1" t="str">
        <f ca="1">TEXT(EDATE(TODAY(),AL11),"e")</f>
        <v>2026</v>
      </c>
      <c r="AN11" s="2" t="str">
        <f ca="1">TEXT(EDATE(TODAY(),AL11),"MMMM")</f>
        <v>April</v>
      </c>
      <c r="AQ11"/>
      <c r="AR11"/>
      <c r="AS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1:78" x14ac:dyDescent="0.2">
      <c r="A12" s="27" t="str">
        <f ca="1">OFFSET(AM$6,INT((ROW()-3)/3)-1,0)</f>
        <v>2026</v>
      </c>
      <c r="B12" s="19" t="str">
        <f ca="1">OFFSET(AN$6,INT((ROW()-3)/3)-1,0)</f>
        <v>January</v>
      </c>
      <c r="C12" s="22">
        <f t="shared" ref="C12" si="5">TIME(6,0,0)</f>
        <v>0.25</v>
      </c>
      <c r="D12" s="18">
        <f t="shared" ref="D12" si="6">TIME(14,0,0)</f>
        <v>0.58333333333333337</v>
      </c>
      <c r="E12" s="20" t="str">
        <f>$AJ$6</f>
        <v>A</v>
      </c>
      <c r="F12" s="20" t="str">
        <f>$AJ$6</f>
        <v>A</v>
      </c>
      <c r="G12" s="21"/>
      <c r="H12" s="21"/>
      <c r="I12" s="20" t="str">
        <f>$AJ$8</f>
        <v>C</v>
      </c>
      <c r="J12" s="20" t="str">
        <f>$AJ$8</f>
        <v>C</v>
      </c>
      <c r="K12" s="20" t="str">
        <f>$AJ$8</f>
        <v>C</v>
      </c>
      <c r="L12" s="20" t="str">
        <f>$AJ$8</f>
        <v>C</v>
      </c>
      <c r="M12" s="20" t="str">
        <f>$AJ$8</f>
        <v>C</v>
      </c>
      <c r="N12" s="21"/>
      <c r="O12" s="21"/>
      <c r="P12" s="20" t="str">
        <f>$AJ$7</f>
        <v>B</v>
      </c>
      <c r="Q12" s="20" t="str">
        <f>$AJ$7</f>
        <v>B</v>
      </c>
      <c r="R12" s="20" t="str">
        <f>$AJ$7</f>
        <v>B</v>
      </c>
      <c r="S12" s="20" t="str">
        <f>$AJ$7</f>
        <v>B</v>
      </c>
      <c r="T12" s="20" t="str">
        <f>$AJ$7</f>
        <v>B</v>
      </c>
      <c r="U12" s="21"/>
      <c r="V12" s="21"/>
      <c r="W12" s="20" t="str">
        <f>$AJ$6</f>
        <v>A</v>
      </c>
      <c r="X12" s="20" t="str">
        <f>$AJ$6</f>
        <v>A</v>
      </c>
      <c r="Y12" s="20" t="str">
        <f>$AJ$6</f>
        <v>A</v>
      </c>
      <c r="Z12" s="20" t="str">
        <f>$AJ$6</f>
        <v>A</v>
      </c>
      <c r="AA12" s="20" t="str">
        <f>$AJ$6</f>
        <v>A</v>
      </c>
      <c r="AB12" s="21"/>
      <c r="AC12" s="21"/>
      <c r="AD12" s="20" t="str">
        <f>$AJ$8</f>
        <v>C</v>
      </c>
      <c r="AE12" s="20" t="str">
        <f>$AJ$8</f>
        <v>C</v>
      </c>
      <c r="AF12" s="20" t="str">
        <f>$AJ$8</f>
        <v>C</v>
      </c>
      <c r="AG12" s="20" t="str">
        <f>$AJ$8</f>
        <v>C</v>
      </c>
      <c r="AH12" s="20" t="str">
        <f>$AJ$8</f>
        <v>C</v>
      </c>
      <c r="AI12" s="21"/>
      <c r="AJ12" s="32"/>
      <c r="AL12" s="37">
        <v>6</v>
      </c>
      <c r="AM12" s="1" t="str">
        <f ca="1">TEXT(EDATE(TODAY(),AL12),"e")</f>
        <v>2026</v>
      </c>
      <c r="AN12" s="2" t="str">
        <f ca="1">TEXT(EDATE(TODAY(),AL12),"MMMM")</f>
        <v>May</v>
      </c>
      <c r="AQ12"/>
      <c r="AR12"/>
      <c r="AS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1:78" x14ac:dyDescent="0.2">
      <c r="A13" s="27" t="str">
        <f ca="1">OFFSET(AM$6,INT((ROW()-3)/3)-1,0)</f>
        <v>2026</v>
      </c>
      <c r="B13" s="19" t="str">
        <f ca="1">OFFSET(AN$6,INT((ROW()-3)/3)-1,0)</f>
        <v>January</v>
      </c>
      <c r="C13" s="22">
        <f t="shared" ref="C13" si="7">TIME(14,0,0)</f>
        <v>0.58333333333333337</v>
      </c>
      <c r="D13" s="18">
        <f t="shared" ref="D13" si="8">TIME(22,0,0)</f>
        <v>0.91666666666666663</v>
      </c>
      <c r="E13" s="20" t="str">
        <f>$AJ$7</f>
        <v>B</v>
      </c>
      <c r="F13" s="20" t="str">
        <f>$AJ$7</f>
        <v>B</v>
      </c>
      <c r="G13" s="21"/>
      <c r="H13" s="21"/>
      <c r="I13" s="20" t="str">
        <f>$AJ$7</f>
        <v>B</v>
      </c>
      <c r="J13" s="20" t="str">
        <f>$AJ$7</f>
        <v>B</v>
      </c>
      <c r="K13" s="20" t="str">
        <f>$AJ$7</f>
        <v>B</v>
      </c>
      <c r="L13" s="20" t="str">
        <f>$AJ$7</f>
        <v>B</v>
      </c>
      <c r="M13" s="20" t="str">
        <f>$AJ$7</f>
        <v>B</v>
      </c>
      <c r="N13" s="21"/>
      <c r="O13" s="21"/>
      <c r="P13" s="20" t="str">
        <f>$AJ$6</f>
        <v>A</v>
      </c>
      <c r="Q13" s="20" t="str">
        <f>$AJ$6</f>
        <v>A</v>
      </c>
      <c r="R13" s="20" t="str">
        <f>$AJ$6</f>
        <v>A</v>
      </c>
      <c r="S13" s="20" t="str">
        <f>$AJ$6</f>
        <v>A</v>
      </c>
      <c r="T13" s="20" t="str">
        <f>$AJ$6</f>
        <v>A</v>
      </c>
      <c r="U13" s="21"/>
      <c r="V13" s="21"/>
      <c r="W13" s="20" t="str">
        <f>$AJ$8</f>
        <v>C</v>
      </c>
      <c r="X13" s="20" t="str">
        <f>$AJ$8</f>
        <v>C</v>
      </c>
      <c r="Y13" s="20" t="str">
        <f>$AJ$8</f>
        <v>C</v>
      </c>
      <c r="Z13" s="20" t="str">
        <f>$AJ$8</f>
        <v>C</v>
      </c>
      <c r="AA13" s="20" t="str">
        <f>$AJ$8</f>
        <v>C</v>
      </c>
      <c r="AB13" s="21"/>
      <c r="AC13" s="21"/>
      <c r="AD13" s="20" t="str">
        <f>$AJ$7</f>
        <v>B</v>
      </c>
      <c r="AE13" s="20" t="str">
        <f>$AJ$7</f>
        <v>B</v>
      </c>
      <c r="AF13" s="20" t="str">
        <f>$AJ$7</f>
        <v>B</v>
      </c>
      <c r="AG13" s="20" t="str">
        <f>$AJ$7</f>
        <v>B</v>
      </c>
      <c r="AH13" s="20" t="str">
        <f>$AJ$7</f>
        <v>B</v>
      </c>
      <c r="AI13" s="21"/>
      <c r="AJ13" s="32"/>
      <c r="AL13" s="37">
        <v>7</v>
      </c>
      <c r="AM13" s="1" t="str">
        <f ca="1">TEXT(EDATE(TODAY(),AL13),"e")</f>
        <v>2026</v>
      </c>
      <c r="AN13" s="2" t="str">
        <f ca="1">TEXT(EDATE(TODAY(),AL13),"MMMM")</f>
        <v>June</v>
      </c>
      <c r="AQ13"/>
      <c r="AR13"/>
      <c r="AS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x14ac:dyDescent="0.2">
      <c r="A14" s="27" t="str">
        <f ca="1">OFFSET(AM$6,INT((ROW()-3)/3)-1,0)</f>
        <v>2026</v>
      </c>
      <c r="B14" s="19" t="str">
        <f ca="1">OFFSET(AN$6,INT((ROW()-3)/3)-1,0)</f>
        <v>January</v>
      </c>
      <c r="C14" s="22">
        <f>TIME(22,0,0)</f>
        <v>0.91666666666666663</v>
      </c>
      <c r="D14" s="18">
        <f t="shared" ref="D14" si="9">TIME(6,0,0)</f>
        <v>0.25</v>
      </c>
      <c r="E14" s="20" t="str">
        <f>$AJ$8</f>
        <v>C</v>
      </c>
      <c r="F14" s="20" t="str">
        <f>$AJ$8</f>
        <v>C</v>
      </c>
      <c r="G14" s="21"/>
      <c r="H14" s="21"/>
      <c r="I14" s="20" t="str">
        <f>$AJ$6</f>
        <v>A</v>
      </c>
      <c r="J14" s="20" t="str">
        <f>$AJ$6</f>
        <v>A</v>
      </c>
      <c r="K14" s="20" t="str">
        <f>$AJ$6</f>
        <v>A</v>
      </c>
      <c r="L14" s="20" t="str">
        <f>$AJ$6</f>
        <v>A</v>
      </c>
      <c r="M14" s="20" t="str">
        <f>$AJ$6</f>
        <v>A</v>
      </c>
      <c r="N14" s="21"/>
      <c r="O14" s="21"/>
      <c r="P14" s="20" t="str">
        <f>$AJ$8</f>
        <v>C</v>
      </c>
      <c r="Q14" s="20" t="str">
        <f>$AJ$8</f>
        <v>C</v>
      </c>
      <c r="R14" s="20" t="str">
        <f>$AJ$8</f>
        <v>C</v>
      </c>
      <c r="S14" s="20" t="str">
        <f>$AJ$8</f>
        <v>C</v>
      </c>
      <c r="T14" s="20" t="str">
        <f>$AJ$8</f>
        <v>C</v>
      </c>
      <c r="U14" s="21"/>
      <c r="V14" s="21"/>
      <c r="W14" s="20" t="str">
        <f>$AJ$7</f>
        <v>B</v>
      </c>
      <c r="X14" s="20" t="str">
        <f>$AJ$7</f>
        <v>B</v>
      </c>
      <c r="Y14" s="20" t="str">
        <f>$AJ$7</f>
        <v>B</v>
      </c>
      <c r="Z14" s="20" t="str">
        <f>$AJ$7</f>
        <v>B</v>
      </c>
      <c r="AA14" s="20" t="str">
        <f>$AJ$7</f>
        <v>B</v>
      </c>
      <c r="AB14" s="21"/>
      <c r="AC14" s="21"/>
      <c r="AD14" s="20" t="str">
        <f>$AJ$6</f>
        <v>A</v>
      </c>
      <c r="AE14" s="20" t="str">
        <f>$AJ$6</f>
        <v>A</v>
      </c>
      <c r="AF14" s="20" t="str">
        <f>$AJ$6</f>
        <v>A</v>
      </c>
      <c r="AG14" s="20" t="str">
        <f>$AJ$6</f>
        <v>A</v>
      </c>
      <c r="AH14" s="20" t="str">
        <f>$AJ$6</f>
        <v>A</v>
      </c>
      <c r="AI14" s="21"/>
      <c r="AJ14" s="32"/>
      <c r="AL14" s="37">
        <v>8</v>
      </c>
      <c r="AM14" s="1" t="str">
        <f ca="1">TEXT(EDATE(TODAY(),AL14),"e")</f>
        <v>2026</v>
      </c>
      <c r="AN14" s="2" t="str">
        <f ca="1">TEXT(EDATE(TODAY(),AL14),"MMMM")</f>
        <v>July</v>
      </c>
      <c r="AQ14"/>
      <c r="AR14"/>
      <c r="AS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1:78" x14ac:dyDescent="0.2">
      <c r="A15" s="27" t="str">
        <f ca="1">OFFSET(AM$6,INT((ROW()-3)/3)-1,0)</f>
        <v>2026</v>
      </c>
      <c r="B15" s="19" t="str">
        <f ca="1">OFFSET(AN$6,INT((ROW()-3)/3)-1,0)</f>
        <v>February</v>
      </c>
      <c r="C15" s="22">
        <f t="shared" ref="C15" si="10">TIME(6,0,0)</f>
        <v>0.25</v>
      </c>
      <c r="D15" s="18">
        <f t="shared" ref="D15" si="11">TIME(14,0,0)</f>
        <v>0.58333333333333337</v>
      </c>
      <c r="E15" s="21"/>
      <c r="F15" s="20" t="str">
        <f>$AJ$7</f>
        <v>B</v>
      </c>
      <c r="G15" s="20" t="str">
        <f>$AJ$7</f>
        <v>B</v>
      </c>
      <c r="H15" s="20" t="str">
        <f>$AJ$7</f>
        <v>B</v>
      </c>
      <c r="I15" s="20" t="str">
        <f>$AJ$7</f>
        <v>B</v>
      </c>
      <c r="J15" s="20" t="str">
        <f>$AJ$7</f>
        <v>B</v>
      </c>
      <c r="K15" s="21"/>
      <c r="L15" s="21"/>
      <c r="M15" s="20" t="str">
        <f>$AJ$6</f>
        <v>A</v>
      </c>
      <c r="N15" s="20" t="str">
        <f>$AJ$6</f>
        <v>A</v>
      </c>
      <c r="O15" s="20" t="str">
        <f>$AJ$6</f>
        <v>A</v>
      </c>
      <c r="P15" s="20" t="str">
        <f>$AJ$6</f>
        <v>A</v>
      </c>
      <c r="Q15" s="20" t="str">
        <f>$AJ$6</f>
        <v>A</v>
      </c>
      <c r="R15" s="21"/>
      <c r="S15" s="21"/>
      <c r="T15" s="20" t="str">
        <f>$AJ$8</f>
        <v>C</v>
      </c>
      <c r="U15" s="20" t="str">
        <f>$AJ$8</f>
        <v>C</v>
      </c>
      <c r="V15" s="20" t="str">
        <f>$AJ$8</f>
        <v>C</v>
      </c>
      <c r="W15" s="20" t="str">
        <f>$AJ$8</f>
        <v>C</v>
      </c>
      <c r="X15" s="20" t="str">
        <f>$AJ$8</f>
        <v>C</v>
      </c>
      <c r="Y15" s="21"/>
      <c r="Z15" s="21"/>
      <c r="AA15" s="20" t="str">
        <f>$AJ$7</f>
        <v>B</v>
      </c>
      <c r="AB15" s="20" t="str">
        <f>$AJ$7</f>
        <v>B</v>
      </c>
      <c r="AC15" s="20" t="str">
        <f>$AJ$7</f>
        <v>B</v>
      </c>
      <c r="AD15" s="20" t="str">
        <f>$AJ$7</f>
        <v>B</v>
      </c>
      <c r="AE15" s="20" t="str">
        <f>$AJ$7</f>
        <v>B</v>
      </c>
      <c r="AF15" s="21"/>
      <c r="AG15" s="21"/>
      <c r="AH15" s="21"/>
      <c r="AI15" s="21"/>
      <c r="AJ15" s="32"/>
      <c r="AL15" s="37">
        <v>9</v>
      </c>
      <c r="AM15" s="1" t="str">
        <f ca="1">TEXT(EDATE(TODAY(),AL15),"e")</f>
        <v>2026</v>
      </c>
      <c r="AN15" s="2" t="str">
        <f ca="1">TEXT(EDATE(TODAY(),AL15),"MMMM")</f>
        <v>August</v>
      </c>
      <c r="AQ15"/>
      <c r="AR15"/>
      <c r="AS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</row>
    <row r="16" spans="1:78" x14ac:dyDescent="0.2">
      <c r="A16" s="27" t="str">
        <f ca="1">OFFSET(AM$6,INT((ROW()-3)/3)-1,0)</f>
        <v>2026</v>
      </c>
      <c r="B16" s="19" t="str">
        <f ca="1">OFFSET(AN$6,INT((ROW()-3)/3)-1,0)</f>
        <v>February</v>
      </c>
      <c r="C16" s="22">
        <f t="shared" ref="C16" si="12">TIME(14,0,0)</f>
        <v>0.58333333333333337</v>
      </c>
      <c r="D16" s="18">
        <f t="shared" ref="D16" si="13">TIME(22,0,0)</f>
        <v>0.91666666666666663</v>
      </c>
      <c r="E16" s="21"/>
      <c r="F16" s="20" t="str">
        <f>$AJ$6</f>
        <v>A</v>
      </c>
      <c r="G16" s="20" t="str">
        <f>$AJ$6</f>
        <v>A</v>
      </c>
      <c r="H16" s="20" t="str">
        <f>$AJ$6</f>
        <v>A</v>
      </c>
      <c r="I16" s="20" t="str">
        <f>$AJ$6</f>
        <v>A</v>
      </c>
      <c r="J16" s="20" t="str">
        <f>$AJ$6</f>
        <v>A</v>
      </c>
      <c r="K16" s="21"/>
      <c r="L16" s="21"/>
      <c r="M16" s="20" t="str">
        <f>$AJ$8</f>
        <v>C</v>
      </c>
      <c r="N16" s="20" t="str">
        <f>$AJ$8</f>
        <v>C</v>
      </c>
      <c r="O16" s="20" t="str">
        <f>$AJ$8</f>
        <v>C</v>
      </c>
      <c r="P16" s="20" t="str">
        <f>$AJ$8</f>
        <v>C</v>
      </c>
      <c r="Q16" s="20" t="str">
        <f>$AJ$8</f>
        <v>C</v>
      </c>
      <c r="R16" s="21"/>
      <c r="S16" s="21"/>
      <c r="T16" s="20" t="str">
        <f>$AJ$7</f>
        <v>B</v>
      </c>
      <c r="U16" s="20" t="str">
        <f>$AJ$7</f>
        <v>B</v>
      </c>
      <c r="V16" s="20" t="str">
        <f>$AJ$7</f>
        <v>B</v>
      </c>
      <c r="W16" s="20" t="str">
        <f>$AJ$7</f>
        <v>B</v>
      </c>
      <c r="X16" s="20" t="str">
        <f>$AJ$7</f>
        <v>B</v>
      </c>
      <c r="Y16" s="21"/>
      <c r="Z16" s="21"/>
      <c r="AA16" s="20" t="str">
        <f>$AJ$6</f>
        <v>A</v>
      </c>
      <c r="AB16" s="20" t="str">
        <f>$AJ$6</f>
        <v>A</v>
      </c>
      <c r="AC16" s="20" t="str">
        <f>$AJ$6</f>
        <v>A</v>
      </c>
      <c r="AD16" s="20" t="str">
        <f>$AJ$6</f>
        <v>A</v>
      </c>
      <c r="AE16" s="20" t="str">
        <f>$AJ$6</f>
        <v>A</v>
      </c>
      <c r="AF16" s="21"/>
      <c r="AG16" s="21"/>
      <c r="AH16" s="21"/>
      <c r="AI16" s="21"/>
      <c r="AJ16" s="32"/>
      <c r="AL16" s="37">
        <v>10</v>
      </c>
      <c r="AM16" s="1" t="str">
        <f ca="1">TEXT(EDATE(TODAY(),AL16),"e")</f>
        <v>2026</v>
      </c>
      <c r="AN16" s="2" t="str">
        <f ca="1">TEXT(EDATE(TODAY(),AL16),"MMMM")</f>
        <v>September</v>
      </c>
      <c r="AQ16"/>
      <c r="AR16"/>
      <c r="AS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</row>
    <row r="17" spans="1:77" x14ac:dyDescent="0.2">
      <c r="A17" s="27" t="str">
        <f ca="1">OFFSET(AM$6,INT((ROW()-3)/3)-1,0)</f>
        <v>2026</v>
      </c>
      <c r="B17" s="19" t="str">
        <f ca="1">OFFSET(AN$6,INT((ROW()-3)/3)-1,0)</f>
        <v>February</v>
      </c>
      <c r="C17" s="22">
        <f>TIME(22,0,0)</f>
        <v>0.91666666666666663</v>
      </c>
      <c r="D17" s="18">
        <f t="shared" ref="D17" si="14">TIME(6,0,0)</f>
        <v>0.25</v>
      </c>
      <c r="E17" s="21"/>
      <c r="F17" s="20" t="str">
        <f>$AJ$8</f>
        <v>C</v>
      </c>
      <c r="G17" s="20" t="str">
        <f>$AJ$8</f>
        <v>C</v>
      </c>
      <c r="H17" s="20" t="str">
        <f>$AJ$8</f>
        <v>C</v>
      </c>
      <c r="I17" s="20" t="str">
        <f>$AJ$8</f>
        <v>C</v>
      </c>
      <c r="J17" s="20" t="str">
        <f>$AJ$8</f>
        <v>C</v>
      </c>
      <c r="K17" s="21"/>
      <c r="L17" s="21"/>
      <c r="M17" s="20" t="str">
        <f>$AJ$7</f>
        <v>B</v>
      </c>
      <c r="N17" s="20" t="str">
        <f>$AJ$7</f>
        <v>B</v>
      </c>
      <c r="O17" s="20" t="str">
        <f>$AJ$7</f>
        <v>B</v>
      </c>
      <c r="P17" s="20" t="str">
        <f>$AJ$7</f>
        <v>B</v>
      </c>
      <c r="Q17" s="20" t="str">
        <f>$AJ$7</f>
        <v>B</v>
      </c>
      <c r="R17" s="21"/>
      <c r="S17" s="21"/>
      <c r="T17" s="20" t="str">
        <f>$AJ$6</f>
        <v>A</v>
      </c>
      <c r="U17" s="20" t="str">
        <f>$AJ$6</f>
        <v>A</v>
      </c>
      <c r="V17" s="20" t="str">
        <f>$AJ$6</f>
        <v>A</v>
      </c>
      <c r="W17" s="20" t="str">
        <f>$AJ$6</f>
        <v>A</v>
      </c>
      <c r="X17" s="20" t="str">
        <f>$AJ$6</f>
        <v>A</v>
      </c>
      <c r="Y17" s="21"/>
      <c r="Z17" s="21"/>
      <c r="AA17" s="20" t="str">
        <f>$AJ$8</f>
        <v>C</v>
      </c>
      <c r="AB17" s="20" t="str">
        <f>$AJ$8</f>
        <v>C</v>
      </c>
      <c r="AC17" s="20" t="str">
        <f>$AJ$8</f>
        <v>C</v>
      </c>
      <c r="AD17" s="20" t="str">
        <f>$AJ$8</f>
        <v>C</v>
      </c>
      <c r="AE17" s="20" t="str">
        <f>$AJ$8</f>
        <v>C</v>
      </c>
      <c r="AF17" s="21"/>
      <c r="AG17" s="21"/>
      <c r="AH17" s="21"/>
      <c r="AI17" s="21"/>
      <c r="AJ17" s="32"/>
      <c r="AL17" s="37">
        <v>11</v>
      </c>
      <c r="AM17" s="1" t="str">
        <f ca="1">TEXT(EDATE(TODAY(),AL17),"e")</f>
        <v>2026</v>
      </c>
      <c r="AN17" s="2" t="str">
        <f ca="1">TEXT(EDATE(TODAY(),AL17),"MMMM")</f>
        <v>October</v>
      </c>
      <c r="AQ17"/>
      <c r="AR17"/>
      <c r="AS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</row>
    <row r="18" spans="1:77" x14ac:dyDescent="0.2">
      <c r="A18" s="27" t="str">
        <f ca="1">OFFSET(AM$6,INT((ROW()-3)/3)-1,0)</f>
        <v>2026</v>
      </c>
      <c r="B18" s="19" t="str">
        <f ca="1">OFFSET(AN$6,INT((ROW()-3)/3)-1,0)</f>
        <v>March</v>
      </c>
      <c r="C18" s="22">
        <f t="shared" ref="C18" si="15">TIME(6,0,0)</f>
        <v>0.25</v>
      </c>
      <c r="D18" s="18">
        <f t="shared" ref="D18" si="16">TIME(14,0,0)</f>
        <v>0.58333333333333337</v>
      </c>
      <c r="E18" s="21"/>
      <c r="F18" s="20" t="str">
        <f>$AJ$6</f>
        <v>A</v>
      </c>
      <c r="G18" s="20" t="str">
        <f>$AJ$6</f>
        <v>A</v>
      </c>
      <c r="H18" s="20" t="str">
        <f>$AJ$6</f>
        <v>A</v>
      </c>
      <c r="I18" s="20" t="str">
        <f>$AJ$6</f>
        <v>A</v>
      </c>
      <c r="J18" s="20" t="str">
        <f>$AJ$6</f>
        <v>A</v>
      </c>
      <c r="K18" s="21"/>
      <c r="L18" s="21"/>
      <c r="M18" s="20" t="str">
        <f>$AJ$8</f>
        <v>C</v>
      </c>
      <c r="N18" s="20" t="str">
        <f>$AJ$8</f>
        <v>C</v>
      </c>
      <c r="O18" s="20" t="str">
        <f>$AJ$8</f>
        <v>C</v>
      </c>
      <c r="P18" s="20" t="str">
        <f>$AJ$8</f>
        <v>C</v>
      </c>
      <c r="Q18" s="20" t="str">
        <f>$AJ$8</f>
        <v>C</v>
      </c>
      <c r="R18" s="21"/>
      <c r="S18" s="21"/>
      <c r="T18" s="20" t="str">
        <f>$AJ$7</f>
        <v>B</v>
      </c>
      <c r="U18" s="20" t="str">
        <f>$AJ$7</f>
        <v>B</v>
      </c>
      <c r="V18" s="20" t="str">
        <f>$AJ$7</f>
        <v>B</v>
      </c>
      <c r="W18" s="20" t="str">
        <f>$AJ$7</f>
        <v>B</v>
      </c>
      <c r="X18" s="20" t="str">
        <f>$AJ$7</f>
        <v>B</v>
      </c>
      <c r="Y18" s="21"/>
      <c r="Z18" s="21"/>
      <c r="AA18" s="20" t="str">
        <f>$AJ$6</f>
        <v>A</v>
      </c>
      <c r="AB18" s="20" t="str">
        <f>$AJ$6</f>
        <v>A</v>
      </c>
      <c r="AC18" s="20" t="str">
        <f>$AJ$6</f>
        <v>A</v>
      </c>
      <c r="AD18" s="20" t="str">
        <f>$AJ$6</f>
        <v>A</v>
      </c>
      <c r="AE18" s="20" t="str">
        <f>$AJ$6</f>
        <v>A</v>
      </c>
      <c r="AF18" s="21"/>
      <c r="AG18" s="21"/>
      <c r="AH18" s="20" t="str">
        <f>$AJ$8</f>
        <v>C</v>
      </c>
      <c r="AI18" s="20" t="str">
        <f>$AJ$8</f>
        <v>C</v>
      </c>
      <c r="AJ18" s="32"/>
      <c r="AL18" s="37">
        <v>12</v>
      </c>
      <c r="AM18" s="1" t="str">
        <f ca="1">TEXT(EDATE(TODAY(),AL18),"e")</f>
        <v>2026</v>
      </c>
      <c r="AN18" s="2" t="str">
        <f ca="1">TEXT(EDATE(TODAY(),AL18),"MMMM")</f>
        <v>November</v>
      </c>
      <c r="AQ18"/>
      <c r="AR18"/>
      <c r="AS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</row>
    <row r="19" spans="1:77" x14ac:dyDescent="0.2">
      <c r="A19" s="27" t="str">
        <f ca="1">OFFSET(AM$6,INT((ROW()-3)/3)-1,0)</f>
        <v>2026</v>
      </c>
      <c r="B19" s="19" t="str">
        <f ca="1">OFFSET(AN$6,INT((ROW()-3)/3)-1,0)</f>
        <v>March</v>
      </c>
      <c r="C19" s="22">
        <f t="shared" ref="C19" si="17">TIME(14,0,0)</f>
        <v>0.58333333333333337</v>
      </c>
      <c r="D19" s="18">
        <f t="shared" ref="D19" si="18">TIME(22,0,0)</f>
        <v>0.91666666666666663</v>
      </c>
      <c r="E19" s="21"/>
      <c r="F19" s="20" t="str">
        <f>$AJ$8</f>
        <v>C</v>
      </c>
      <c r="G19" s="20" t="str">
        <f>$AJ$8</f>
        <v>C</v>
      </c>
      <c r="H19" s="20" t="str">
        <f>$AJ$8</f>
        <v>C</v>
      </c>
      <c r="I19" s="20" t="str">
        <f>$AJ$8</f>
        <v>C</v>
      </c>
      <c r="J19" s="20" t="str">
        <f>$AJ$8</f>
        <v>C</v>
      </c>
      <c r="K19" s="21"/>
      <c r="L19" s="21"/>
      <c r="M19" s="20" t="str">
        <f>$AJ$7</f>
        <v>B</v>
      </c>
      <c r="N19" s="20" t="str">
        <f>$AJ$7</f>
        <v>B</v>
      </c>
      <c r="O19" s="20" t="str">
        <f>$AJ$7</f>
        <v>B</v>
      </c>
      <c r="P19" s="20" t="str">
        <f>$AJ$7</f>
        <v>B</v>
      </c>
      <c r="Q19" s="20" t="str">
        <f>$AJ$7</f>
        <v>B</v>
      </c>
      <c r="R19" s="21"/>
      <c r="S19" s="21"/>
      <c r="T19" s="20" t="str">
        <f>$AJ$6</f>
        <v>A</v>
      </c>
      <c r="U19" s="20" t="str">
        <f>$AJ$6</f>
        <v>A</v>
      </c>
      <c r="V19" s="20" t="str">
        <f>$AJ$6</f>
        <v>A</v>
      </c>
      <c r="W19" s="20" t="str">
        <f>$AJ$6</f>
        <v>A</v>
      </c>
      <c r="X19" s="20" t="str">
        <f>$AJ$6</f>
        <v>A</v>
      </c>
      <c r="Y19" s="21"/>
      <c r="Z19" s="21"/>
      <c r="AA19" s="20" t="str">
        <f>$AJ$8</f>
        <v>C</v>
      </c>
      <c r="AB19" s="20" t="str">
        <f>$AJ$8</f>
        <v>C</v>
      </c>
      <c r="AC19" s="20" t="str">
        <f>$AJ$8</f>
        <v>C</v>
      </c>
      <c r="AD19" s="20" t="str">
        <f>$AJ$8</f>
        <v>C</v>
      </c>
      <c r="AE19" s="20" t="str">
        <f>$AJ$8</f>
        <v>C</v>
      </c>
      <c r="AF19" s="21"/>
      <c r="AG19" s="21"/>
      <c r="AH19" s="20" t="str">
        <f>$AJ$7</f>
        <v>B</v>
      </c>
      <c r="AI19" s="20" t="str">
        <f>$AJ$7</f>
        <v>B</v>
      </c>
      <c r="AJ19" s="32"/>
      <c r="AL19" s="37">
        <v>13</v>
      </c>
      <c r="AM19" s="1" t="str">
        <f ca="1">TEXT(EDATE(TODAY(),AL19),"e")</f>
        <v>2026</v>
      </c>
      <c r="AN19" s="2" t="str">
        <f ca="1">TEXT(EDATE(TODAY(),AL19),"MMMM")</f>
        <v>December</v>
      </c>
      <c r="AQ19"/>
      <c r="AR19"/>
      <c r="AS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</row>
    <row r="20" spans="1:77" x14ac:dyDescent="0.2">
      <c r="A20" s="27" t="str">
        <f ca="1">OFFSET(AM$6,INT((ROW()-3)/3)-1,0)</f>
        <v>2026</v>
      </c>
      <c r="B20" s="19" t="str">
        <f ca="1">OFFSET(AN$6,INT((ROW()-3)/3)-1,0)</f>
        <v>March</v>
      </c>
      <c r="C20" s="22">
        <f>TIME(22,0,0)</f>
        <v>0.91666666666666663</v>
      </c>
      <c r="D20" s="18">
        <f t="shared" ref="D20" si="19">TIME(6,0,0)</f>
        <v>0.25</v>
      </c>
      <c r="E20" s="21"/>
      <c r="F20" s="20" t="str">
        <f>$AJ$7</f>
        <v>B</v>
      </c>
      <c r="G20" s="20" t="str">
        <f>$AJ$7</f>
        <v>B</v>
      </c>
      <c r="H20" s="20" t="str">
        <f>$AJ$7</f>
        <v>B</v>
      </c>
      <c r="I20" s="20" t="str">
        <f>$AJ$7</f>
        <v>B</v>
      </c>
      <c r="J20" s="20" t="str">
        <f>$AJ$7</f>
        <v>B</v>
      </c>
      <c r="K20" s="21"/>
      <c r="L20" s="21"/>
      <c r="M20" s="20" t="str">
        <f>$AJ$6</f>
        <v>A</v>
      </c>
      <c r="N20" s="20" t="str">
        <f>$AJ$6</f>
        <v>A</v>
      </c>
      <c r="O20" s="20" t="str">
        <f>$AJ$6</f>
        <v>A</v>
      </c>
      <c r="P20" s="20" t="str">
        <f>$AJ$6</f>
        <v>A</v>
      </c>
      <c r="Q20" s="20" t="str">
        <f>$AJ$6</f>
        <v>A</v>
      </c>
      <c r="R20" s="21"/>
      <c r="S20" s="21"/>
      <c r="T20" s="20" t="str">
        <f>$AJ$8</f>
        <v>C</v>
      </c>
      <c r="U20" s="20" t="str">
        <f>$AJ$8</f>
        <v>C</v>
      </c>
      <c r="V20" s="20" t="str">
        <f>$AJ$8</f>
        <v>C</v>
      </c>
      <c r="W20" s="20" t="str">
        <f>$AJ$8</f>
        <v>C</v>
      </c>
      <c r="X20" s="20" t="str">
        <f>$AJ$8</f>
        <v>C</v>
      </c>
      <c r="Y20" s="21"/>
      <c r="Z20" s="21"/>
      <c r="AA20" s="20" t="str">
        <f>$AJ$7</f>
        <v>B</v>
      </c>
      <c r="AB20" s="20" t="str">
        <f>$AJ$7</f>
        <v>B</v>
      </c>
      <c r="AC20" s="20" t="str">
        <f>$AJ$7</f>
        <v>B</v>
      </c>
      <c r="AD20" s="20" t="str">
        <f>$AJ$7</f>
        <v>B</v>
      </c>
      <c r="AE20" s="20" t="str">
        <f>$AJ$7</f>
        <v>B</v>
      </c>
      <c r="AF20" s="21"/>
      <c r="AG20" s="21"/>
      <c r="AH20" s="20" t="str">
        <f>$AJ$6</f>
        <v>A</v>
      </c>
      <c r="AI20" s="20" t="str">
        <f>$AJ$6</f>
        <v>A</v>
      </c>
      <c r="AJ20" s="32"/>
      <c r="AL20" s="37">
        <v>14</v>
      </c>
      <c r="AM20" s="1" t="str">
        <f ca="1">TEXT(EDATE(TODAY(),AL20),"e")</f>
        <v>2027</v>
      </c>
      <c r="AN20" s="2" t="str">
        <f ca="1">TEXT(EDATE(TODAY(),AL20),"MMMM")</f>
        <v>January</v>
      </c>
      <c r="AQ20"/>
      <c r="AR20"/>
      <c r="AS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</row>
    <row r="21" spans="1:77" x14ac:dyDescent="0.2">
      <c r="A21" s="27" t="str">
        <f ca="1">OFFSET(AM$6,INT((ROW()-3)/3)-1,0)</f>
        <v>2026</v>
      </c>
      <c r="B21" s="19" t="str">
        <f ca="1">OFFSET(AN$6,INT((ROW()-3)/3)-1,0)</f>
        <v>April</v>
      </c>
      <c r="C21" s="22">
        <f t="shared" ref="C21" si="20">TIME(6,0,0)</f>
        <v>0.25</v>
      </c>
      <c r="D21" s="18">
        <f t="shared" ref="D21" si="21">TIME(14,0,0)</f>
        <v>0.58333333333333337</v>
      </c>
      <c r="E21" s="20" t="str">
        <f>$AJ$8</f>
        <v>C</v>
      </c>
      <c r="F21" s="20" t="str">
        <f>$AJ$8</f>
        <v>C</v>
      </c>
      <c r="G21" s="20" t="str">
        <f>$AJ$8</f>
        <v>C</v>
      </c>
      <c r="H21" s="21"/>
      <c r="I21" s="21"/>
      <c r="J21" s="20" t="str">
        <f>$AJ$7</f>
        <v>B</v>
      </c>
      <c r="K21" s="20" t="str">
        <f>$AJ$7</f>
        <v>B</v>
      </c>
      <c r="L21" s="20" t="str">
        <f>$AJ$7</f>
        <v>B</v>
      </c>
      <c r="M21" s="20" t="str">
        <f>$AJ$7</f>
        <v>B</v>
      </c>
      <c r="N21" s="20" t="str">
        <f>$AJ$7</f>
        <v>B</v>
      </c>
      <c r="O21" s="21"/>
      <c r="P21" s="21"/>
      <c r="Q21" s="20" t="str">
        <f>$AJ$6</f>
        <v>A</v>
      </c>
      <c r="R21" s="20" t="str">
        <f>$AJ$6</f>
        <v>A</v>
      </c>
      <c r="S21" s="20" t="str">
        <f>$AJ$6</f>
        <v>A</v>
      </c>
      <c r="T21" s="20" t="str">
        <f>$AJ$6</f>
        <v>A</v>
      </c>
      <c r="U21" s="20" t="str">
        <f>$AJ$6</f>
        <v>A</v>
      </c>
      <c r="V21" s="21"/>
      <c r="W21" s="21"/>
      <c r="X21" s="20" t="str">
        <f>$AJ$8</f>
        <v>C</v>
      </c>
      <c r="Y21" s="20" t="str">
        <f>$AJ$8</f>
        <v>C</v>
      </c>
      <c r="Z21" s="20" t="str">
        <f>$AJ$8</f>
        <v>C</v>
      </c>
      <c r="AA21" s="20" t="str">
        <f>$AJ$8</f>
        <v>C</v>
      </c>
      <c r="AB21" s="20" t="str">
        <f>$AJ$8</f>
        <v>C</v>
      </c>
      <c r="AC21" s="21"/>
      <c r="AD21" s="21"/>
      <c r="AE21" s="20" t="str">
        <f>$AJ$7</f>
        <v>B</v>
      </c>
      <c r="AF21" s="20" t="str">
        <f>$AJ$7</f>
        <v>B</v>
      </c>
      <c r="AG21" s="20" t="str">
        <f>$AJ$7</f>
        <v>B</v>
      </c>
      <c r="AH21" s="20" t="str">
        <f>$AJ$7</f>
        <v>B</v>
      </c>
      <c r="AI21" s="20"/>
      <c r="AJ21" s="32"/>
      <c r="AL21" s="37">
        <v>15</v>
      </c>
      <c r="AM21" s="1" t="str">
        <f ca="1">TEXT(EDATE(TODAY(),AL21),"e")</f>
        <v>2027</v>
      </c>
      <c r="AN21" s="2" t="str">
        <f ca="1">TEXT(EDATE(TODAY(),AL21),"MMMM")</f>
        <v>February</v>
      </c>
      <c r="AQ21"/>
      <c r="AR21"/>
      <c r="AS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</row>
    <row r="22" spans="1:77" x14ac:dyDescent="0.2">
      <c r="A22" s="27" t="str">
        <f ca="1">OFFSET(AM$6,INT((ROW()-3)/3)-1,0)</f>
        <v>2026</v>
      </c>
      <c r="B22" s="19" t="str">
        <f ca="1">OFFSET(AN$6,INT((ROW()-3)/3)-1,0)</f>
        <v>April</v>
      </c>
      <c r="C22" s="22">
        <f t="shared" ref="C22" si="22">TIME(14,0,0)</f>
        <v>0.58333333333333337</v>
      </c>
      <c r="D22" s="18">
        <f t="shared" ref="D22" si="23">TIME(22,0,0)</f>
        <v>0.91666666666666663</v>
      </c>
      <c r="E22" s="20" t="str">
        <f>$AJ$7</f>
        <v>B</v>
      </c>
      <c r="F22" s="20" t="str">
        <f>$AJ$7</f>
        <v>B</v>
      </c>
      <c r="G22" s="20" t="str">
        <f>$AJ$7</f>
        <v>B</v>
      </c>
      <c r="H22" s="21"/>
      <c r="I22" s="21"/>
      <c r="J22" s="20" t="str">
        <f>$AJ$6</f>
        <v>A</v>
      </c>
      <c r="K22" s="20" t="str">
        <f>$AJ$6</f>
        <v>A</v>
      </c>
      <c r="L22" s="20" t="str">
        <f>$AJ$6</f>
        <v>A</v>
      </c>
      <c r="M22" s="20" t="str">
        <f>$AJ$6</f>
        <v>A</v>
      </c>
      <c r="N22" s="20" t="str">
        <f>$AJ$6</f>
        <v>A</v>
      </c>
      <c r="O22" s="21"/>
      <c r="P22" s="21"/>
      <c r="Q22" s="20" t="str">
        <f>$AJ$8</f>
        <v>C</v>
      </c>
      <c r="R22" s="20" t="str">
        <f>$AJ$8</f>
        <v>C</v>
      </c>
      <c r="S22" s="20" t="str">
        <f>$AJ$8</f>
        <v>C</v>
      </c>
      <c r="T22" s="20" t="str">
        <f>$AJ$8</f>
        <v>C</v>
      </c>
      <c r="U22" s="20" t="str">
        <f>$AJ$8</f>
        <v>C</v>
      </c>
      <c r="V22" s="21"/>
      <c r="W22" s="21"/>
      <c r="X22" s="20" t="str">
        <f>$AJ$7</f>
        <v>B</v>
      </c>
      <c r="Y22" s="20" t="str">
        <f>$AJ$7</f>
        <v>B</v>
      </c>
      <c r="Z22" s="20" t="str">
        <f>$AJ$7</f>
        <v>B</v>
      </c>
      <c r="AA22" s="20" t="str">
        <f>$AJ$7</f>
        <v>B</v>
      </c>
      <c r="AB22" s="20" t="str">
        <f>$AJ$7</f>
        <v>B</v>
      </c>
      <c r="AC22" s="21"/>
      <c r="AD22" s="21"/>
      <c r="AE22" s="20" t="str">
        <f>$AJ$6</f>
        <v>A</v>
      </c>
      <c r="AF22" s="20" t="str">
        <f>$AJ$6</f>
        <v>A</v>
      </c>
      <c r="AG22" s="20" t="str">
        <f>$AJ$6</f>
        <v>A</v>
      </c>
      <c r="AH22" s="20" t="str">
        <f>$AJ$6</f>
        <v>A</v>
      </c>
      <c r="AI22" s="20"/>
      <c r="AJ22" s="32"/>
      <c r="AL22" s="37">
        <v>16</v>
      </c>
      <c r="AM22" s="1" t="str">
        <f ca="1">TEXT(EDATE(TODAY(),AL22),"e")</f>
        <v>2027</v>
      </c>
      <c r="AN22" s="2" t="str">
        <f ca="1">TEXT(EDATE(TODAY(),AL22),"MMMM")</f>
        <v>March</v>
      </c>
      <c r="AQ22"/>
      <c r="AR22"/>
      <c r="AS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</row>
    <row r="23" spans="1:77" x14ac:dyDescent="0.2">
      <c r="A23" s="27" t="str">
        <f ca="1">OFFSET(AM$6,INT((ROW()-3)/3)-1,0)</f>
        <v>2026</v>
      </c>
      <c r="B23" s="19" t="str">
        <f ca="1">OFFSET(AN$6,INT((ROW()-3)/3)-1,0)</f>
        <v>April</v>
      </c>
      <c r="C23" s="22">
        <f>TIME(22,0,0)</f>
        <v>0.91666666666666663</v>
      </c>
      <c r="D23" s="18">
        <f t="shared" ref="D23" si="24">TIME(6,0,0)</f>
        <v>0.25</v>
      </c>
      <c r="E23" s="20" t="str">
        <f>$AJ$6</f>
        <v>A</v>
      </c>
      <c r="F23" s="20" t="str">
        <f>$AJ$6</f>
        <v>A</v>
      </c>
      <c r="G23" s="20" t="str">
        <f>$AJ$6</f>
        <v>A</v>
      </c>
      <c r="H23" s="21"/>
      <c r="I23" s="21"/>
      <c r="J23" s="20" t="str">
        <f>$AJ$8</f>
        <v>C</v>
      </c>
      <c r="K23" s="20" t="str">
        <f>$AJ$8</f>
        <v>C</v>
      </c>
      <c r="L23" s="20" t="str">
        <f>$AJ$8</f>
        <v>C</v>
      </c>
      <c r="M23" s="20" t="str">
        <f>$AJ$8</f>
        <v>C</v>
      </c>
      <c r="N23" s="20" t="str">
        <f>$AJ$8</f>
        <v>C</v>
      </c>
      <c r="O23" s="21"/>
      <c r="P23" s="21"/>
      <c r="Q23" s="20" t="str">
        <f>$AJ$7</f>
        <v>B</v>
      </c>
      <c r="R23" s="20" t="str">
        <f>$AJ$7</f>
        <v>B</v>
      </c>
      <c r="S23" s="20" t="str">
        <f>$AJ$7</f>
        <v>B</v>
      </c>
      <c r="T23" s="20" t="str">
        <f>$AJ$7</f>
        <v>B</v>
      </c>
      <c r="U23" s="20" t="str">
        <f>$AJ$7</f>
        <v>B</v>
      </c>
      <c r="V23" s="21"/>
      <c r="W23" s="21"/>
      <c r="X23" s="20" t="str">
        <f>$AJ$6</f>
        <v>A</v>
      </c>
      <c r="Y23" s="20" t="str">
        <f>$AJ$6</f>
        <v>A</v>
      </c>
      <c r="Z23" s="20" t="str">
        <f>$AJ$6</f>
        <v>A</v>
      </c>
      <c r="AA23" s="20" t="str">
        <f>$AJ$6</f>
        <v>A</v>
      </c>
      <c r="AB23" s="20" t="str">
        <f>$AJ$6</f>
        <v>A</v>
      </c>
      <c r="AC23" s="21"/>
      <c r="AD23" s="21"/>
      <c r="AE23" s="20" t="str">
        <f>$AJ$8</f>
        <v>C</v>
      </c>
      <c r="AF23" s="20" t="str">
        <f>$AJ$8</f>
        <v>C</v>
      </c>
      <c r="AG23" s="20" t="str">
        <f>$AJ$8</f>
        <v>C</v>
      </c>
      <c r="AH23" s="20" t="str">
        <f>$AJ$8</f>
        <v>C</v>
      </c>
      <c r="AI23" s="20"/>
      <c r="AJ23" s="32"/>
      <c r="AL23" s="37">
        <v>17</v>
      </c>
      <c r="AM23" s="1" t="str">
        <f ca="1">TEXT(EDATE(TODAY(),AL23),"e")</f>
        <v>2027</v>
      </c>
      <c r="AN23" s="2" t="str">
        <f ca="1">TEXT(EDATE(TODAY(),AL23),"MMMM")</f>
        <v>April</v>
      </c>
      <c r="AQ23"/>
      <c r="AR23"/>
      <c r="AS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</row>
    <row r="24" spans="1:77" x14ac:dyDescent="0.2">
      <c r="A24" s="27" t="str">
        <f ca="1">OFFSET(AM$6,INT((ROW()-3)/3)-1,0)</f>
        <v>2026</v>
      </c>
      <c r="B24" s="19" t="str">
        <f ca="1">OFFSET(AN$6,INT((ROW()-3)/3)-1,0)</f>
        <v>May</v>
      </c>
      <c r="C24" s="22">
        <f t="shared" ref="C24" si="25">TIME(6,0,0)</f>
        <v>0.25</v>
      </c>
      <c r="D24" s="18">
        <f t="shared" ref="D24" si="26">TIME(14,0,0)</f>
        <v>0.58333333333333337</v>
      </c>
      <c r="E24" s="20" t="str">
        <f>$AJ$7</f>
        <v>B</v>
      </c>
      <c r="F24" s="21"/>
      <c r="G24" s="21"/>
      <c r="H24" s="20" t="str">
        <f>$AJ$6</f>
        <v>A</v>
      </c>
      <c r="I24" s="20" t="str">
        <f>$AJ$6</f>
        <v>A</v>
      </c>
      <c r="J24" s="20" t="str">
        <f>$AJ$6</f>
        <v>A</v>
      </c>
      <c r="K24" s="20" t="str">
        <f>$AJ$6</f>
        <v>A</v>
      </c>
      <c r="L24" s="20" t="str">
        <f>$AJ$6</f>
        <v>A</v>
      </c>
      <c r="M24" s="21"/>
      <c r="N24" s="21"/>
      <c r="O24" s="20" t="str">
        <f>$AJ$8</f>
        <v>C</v>
      </c>
      <c r="P24" s="20" t="str">
        <f>$AJ$8</f>
        <v>C</v>
      </c>
      <c r="Q24" s="20" t="str">
        <f>$AJ$8</f>
        <v>C</v>
      </c>
      <c r="R24" s="20" t="str">
        <f>$AJ$8</f>
        <v>C</v>
      </c>
      <c r="S24" s="20" t="str">
        <f>$AJ$8</f>
        <v>C</v>
      </c>
      <c r="T24" s="21"/>
      <c r="U24" s="21"/>
      <c r="V24" s="20" t="str">
        <f>$AJ$7</f>
        <v>B</v>
      </c>
      <c r="W24" s="20" t="str">
        <f>$AJ$7</f>
        <v>B</v>
      </c>
      <c r="X24" s="20" t="str">
        <f>$AJ$7</f>
        <v>B</v>
      </c>
      <c r="Y24" s="20" t="str">
        <f>$AJ$7</f>
        <v>B</v>
      </c>
      <c r="Z24" s="20" t="str">
        <f>$AJ$7</f>
        <v>B</v>
      </c>
      <c r="AA24" s="21"/>
      <c r="AB24" s="21"/>
      <c r="AC24" s="20" t="str">
        <f>$AJ$6</f>
        <v>A</v>
      </c>
      <c r="AD24" s="20" t="str">
        <f>$AJ$6</f>
        <v>A</v>
      </c>
      <c r="AE24" s="20" t="str">
        <f>$AJ$6</f>
        <v>A</v>
      </c>
      <c r="AF24" s="20" t="str">
        <f>$AJ$6</f>
        <v>A</v>
      </c>
      <c r="AG24" s="20" t="str">
        <f>$AJ$6</f>
        <v>A</v>
      </c>
      <c r="AH24" s="21"/>
      <c r="AI24" s="21"/>
      <c r="AJ24" s="32"/>
      <c r="AL24" s="37">
        <v>18</v>
      </c>
      <c r="AM24" s="1" t="str">
        <f ca="1">TEXT(EDATE(TODAY(),AL24),"e")</f>
        <v>2027</v>
      </c>
      <c r="AN24" s="2" t="str">
        <f ca="1">TEXT(EDATE(TODAY(),AL24),"MMMM")</f>
        <v>May</v>
      </c>
      <c r="AQ24"/>
      <c r="AR24"/>
      <c r="AS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</row>
    <row r="25" spans="1:77" x14ac:dyDescent="0.2">
      <c r="A25" s="27" t="str">
        <f ca="1">OFFSET(AM$6,INT((ROW()-3)/3)-1,0)</f>
        <v>2026</v>
      </c>
      <c r="B25" s="19" t="str">
        <f ca="1">OFFSET(AN$6,INT((ROW()-3)/3)-1,0)</f>
        <v>May</v>
      </c>
      <c r="C25" s="22">
        <f t="shared" ref="C25" si="27">TIME(14,0,0)</f>
        <v>0.58333333333333337</v>
      </c>
      <c r="D25" s="18">
        <f t="shared" ref="D25" si="28">TIME(22,0,0)</f>
        <v>0.91666666666666663</v>
      </c>
      <c r="E25" s="20" t="str">
        <f>$AJ$6</f>
        <v>A</v>
      </c>
      <c r="F25" s="21"/>
      <c r="G25" s="21"/>
      <c r="H25" s="20" t="str">
        <f>$AJ$8</f>
        <v>C</v>
      </c>
      <c r="I25" s="20" t="str">
        <f>$AJ$8</f>
        <v>C</v>
      </c>
      <c r="J25" s="20" t="str">
        <f>$AJ$8</f>
        <v>C</v>
      </c>
      <c r="K25" s="20" t="str">
        <f>$AJ$8</f>
        <v>C</v>
      </c>
      <c r="L25" s="20" t="str">
        <f>$AJ$8</f>
        <v>C</v>
      </c>
      <c r="M25" s="21"/>
      <c r="N25" s="21"/>
      <c r="O25" s="20" t="str">
        <f>$AJ$7</f>
        <v>B</v>
      </c>
      <c r="P25" s="20" t="str">
        <f>$AJ$7</f>
        <v>B</v>
      </c>
      <c r="Q25" s="20" t="str">
        <f>$AJ$7</f>
        <v>B</v>
      </c>
      <c r="R25" s="20" t="str">
        <f>$AJ$7</f>
        <v>B</v>
      </c>
      <c r="S25" s="20" t="str">
        <f>$AJ$7</f>
        <v>B</v>
      </c>
      <c r="T25" s="21"/>
      <c r="U25" s="21"/>
      <c r="V25" s="20" t="str">
        <f>$AJ$6</f>
        <v>A</v>
      </c>
      <c r="W25" s="20" t="str">
        <f>$AJ$6</f>
        <v>A</v>
      </c>
      <c r="X25" s="20" t="str">
        <f>$AJ$6</f>
        <v>A</v>
      </c>
      <c r="Y25" s="20" t="str">
        <f>$AJ$6</f>
        <v>A</v>
      </c>
      <c r="Z25" s="20" t="str">
        <f>$AJ$6</f>
        <v>A</v>
      </c>
      <c r="AA25" s="21"/>
      <c r="AB25" s="21"/>
      <c r="AC25" s="20" t="str">
        <f>$AJ$8</f>
        <v>C</v>
      </c>
      <c r="AD25" s="20" t="str">
        <f>$AJ$8</f>
        <v>C</v>
      </c>
      <c r="AE25" s="20" t="str">
        <f>$AJ$8</f>
        <v>C</v>
      </c>
      <c r="AF25" s="20" t="str">
        <f>$AJ$8</f>
        <v>C</v>
      </c>
      <c r="AG25" s="20" t="str">
        <f>$AJ$8</f>
        <v>C</v>
      </c>
      <c r="AH25" s="21"/>
      <c r="AI25" s="21"/>
      <c r="AJ25" s="32"/>
      <c r="AL25" s="37">
        <v>19</v>
      </c>
      <c r="AM25" s="1" t="str">
        <f ca="1">TEXT(EDATE(TODAY(),AL25),"e")</f>
        <v>2027</v>
      </c>
      <c r="AN25" s="2" t="str">
        <f ca="1">TEXT(EDATE(TODAY(),AL25),"MMMM")</f>
        <v>June</v>
      </c>
      <c r="AQ25"/>
      <c r="AR25"/>
      <c r="AS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</row>
    <row r="26" spans="1:77" x14ac:dyDescent="0.2">
      <c r="A26" s="27" t="str">
        <f ca="1">OFFSET(AM$6,INT((ROW()-3)/3)-1,0)</f>
        <v>2026</v>
      </c>
      <c r="B26" s="19" t="str">
        <f ca="1">OFFSET(AN$6,INT((ROW()-3)/3)-1,0)</f>
        <v>May</v>
      </c>
      <c r="C26" s="22">
        <f>TIME(22,0,0)</f>
        <v>0.91666666666666663</v>
      </c>
      <c r="D26" s="18">
        <f t="shared" ref="D26" si="29">TIME(6,0,0)</f>
        <v>0.25</v>
      </c>
      <c r="E26" s="20" t="str">
        <f>$AJ$8</f>
        <v>C</v>
      </c>
      <c r="F26" s="21"/>
      <c r="G26" s="21"/>
      <c r="H26" s="20" t="str">
        <f>$AJ$7</f>
        <v>B</v>
      </c>
      <c r="I26" s="20" t="str">
        <f>$AJ$7</f>
        <v>B</v>
      </c>
      <c r="J26" s="20" t="str">
        <f>$AJ$7</f>
        <v>B</v>
      </c>
      <c r="K26" s="20" t="str">
        <f>$AJ$7</f>
        <v>B</v>
      </c>
      <c r="L26" s="20" t="str">
        <f>$AJ$7</f>
        <v>B</v>
      </c>
      <c r="M26" s="21"/>
      <c r="N26" s="21"/>
      <c r="O26" s="20" t="str">
        <f>$AJ$6</f>
        <v>A</v>
      </c>
      <c r="P26" s="20" t="str">
        <f>$AJ$6</f>
        <v>A</v>
      </c>
      <c r="Q26" s="20" t="str">
        <f>$AJ$6</f>
        <v>A</v>
      </c>
      <c r="R26" s="20" t="str">
        <f>$AJ$6</f>
        <v>A</v>
      </c>
      <c r="S26" s="20" t="str">
        <f>$AJ$6</f>
        <v>A</v>
      </c>
      <c r="T26" s="21"/>
      <c r="U26" s="21"/>
      <c r="V26" s="20" t="str">
        <f>$AJ$8</f>
        <v>C</v>
      </c>
      <c r="W26" s="20" t="str">
        <f>$AJ$8</f>
        <v>C</v>
      </c>
      <c r="X26" s="20" t="str">
        <f>$AJ$8</f>
        <v>C</v>
      </c>
      <c r="Y26" s="20" t="str">
        <f>$AJ$8</f>
        <v>C</v>
      </c>
      <c r="Z26" s="20" t="str">
        <f>$AJ$8</f>
        <v>C</v>
      </c>
      <c r="AA26" s="21"/>
      <c r="AB26" s="21"/>
      <c r="AC26" s="20" t="str">
        <f>$AJ$7</f>
        <v>B</v>
      </c>
      <c r="AD26" s="20" t="str">
        <f>$AJ$7</f>
        <v>B</v>
      </c>
      <c r="AE26" s="20" t="str">
        <f>$AJ$7</f>
        <v>B</v>
      </c>
      <c r="AF26" s="20" t="str">
        <f>$AJ$7</f>
        <v>B</v>
      </c>
      <c r="AG26" s="20" t="str">
        <f>$AJ$7</f>
        <v>B</v>
      </c>
      <c r="AH26" s="21"/>
      <c r="AI26" s="21"/>
      <c r="AJ26" s="32"/>
      <c r="AL26" s="37">
        <v>20</v>
      </c>
      <c r="AM26" s="1" t="str">
        <f ca="1">TEXT(EDATE(TODAY(),AL26),"e")</f>
        <v>2027</v>
      </c>
      <c r="AN26" s="2" t="str">
        <f ca="1">TEXT(EDATE(TODAY(),AL26),"MMMM")</f>
        <v>July</v>
      </c>
      <c r="AQ26"/>
      <c r="AR26"/>
      <c r="AS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</row>
    <row r="27" spans="1:77" x14ac:dyDescent="0.2">
      <c r="A27" s="27" t="str">
        <f ca="1">OFFSET(AM$6,INT((ROW()-3)/3)-1,0)</f>
        <v>2026</v>
      </c>
      <c r="B27" s="19" t="str">
        <f ca="1">OFFSET(AN$6,INT((ROW()-3)/3)-1,0)</f>
        <v>June</v>
      </c>
      <c r="C27" s="22">
        <f t="shared" ref="C27" si="30">TIME(6,0,0)</f>
        <v>0.25</v>
      </c>
      <c r="D27" s="18">
        <f t="shared" ref="D27" si="31">TIME(14,0,0)</f>
        <v>0.58333333333333337</v>
      </c>
      <c r="E27" s="20" t="str">
        <f>$AJ$8</f>
        <v>C</v>
      </c>
      <c r="F27" s="20" t="str">
        <f>$AJ$8</f>
        <v>C</v>
      </c>
      <c r="G27" s="20" t="str">
        <f>$AJ$8</f>
        <v>C</v>
      </c>
      <c r="H27" s="20" t="str">
        <f>$AJ$8</f>
        <v>C</v>
      </c>
      <c r="I27" s="20" t="str">
        <f>$AJ$8</f>
        <v>C</v>
      </c>
      <c r="J27" s="21"/>
      <c r="K27" s="21"/>
      <c r="L27" s="20" t="str">
        <f>$AJ$7</f>
        <v>B</v>
      </c>
      <c r="M27" s="20" t="str">
        <f>$AJ$7</f>
        <v>B</v>
      </c>
      <c r="N27" s="20" t="str">
        <f>$AJ$7</f>
        <v>B</v>
      </c>
      <c r="O27" s="20" t="str">
        <f>$AJ$7</f>
        <v>B</v>
      </c>
      <c r="P27" s="20" t="str">
        <f>$AJ$7</f>
        <v>B</v>
      </c>
      <c r="Q27" s="21"/>
      <c r="R27" s="21"/>
      <c r="S27" s="20" t="str">
        <f>$AJ$6</f>
        <v>A</v>
      </c>
      <c r="T27" s="20" t="str">
        <f>$AJ$6</f>
        <v>A</v>
      </c>
      <c r="U27" s="20" t="str">
        <f>$AJ$6</f>
        <v>A</v>
      </c>
      <c r="V27" s="20" t="str">
        <f>$AJ$6</f>
        <v>A</v>
      </c>
      <c r="W27" s="20" t="str">
        <f>$AJ$6</f>
        <v>A</v>
      </c>
      <c r="X27" s="21"/>
      <c r="Y27" s="21"/>
      <c r="Z27" s="20" t="str">
        <f>$AJ$8</f>
        <v>C</v>
      </c>
      <c r="AA27" s="20" t="str">
        <f>$AJ$8</f>
        <v>C</v>
      </c>
      <c r="AB27" s="20" t="str">
        <f>$AJ$8</f>
        <v>C</v>
      </c>
      <c r="AC27" s="20" t="str">
        <f>$AJ$8</f>
        <v>C</v>
      </c>
      <c r="AD27" s="20" t="str">
        <f>$AJ$8</f>
        <v>C</v>
      </c>
      <c r="AE27" s="21"/>
      <c r="AF27" s="21"/>
      <c r="AG27" s="20" t="str">
        <f>$AJ$7</f>
        <v>B</v>
      </c>
      <c r="AH27" s="20" t="str">
        <f>$AJ$7</f>
        <v>B</v>
      </c>
      <c r="AI27" s="21"/>
      <c r="AJ27" s="32"/>
      <c r="AL27" s="37">
        <v>21</v>
      </c>
      <c r="AM27" s="1" t="str">
        <f ca="1">TEXT(EDATE(TODAY(),AL27),"e")</f>
        <v>2027</v>
      </c>
      <c r="AN27" s="2" t="str">
        <f ca="1">TEXT(EDATE(TODAY(),AL27),"MMMM")</f>
        <v>August</v>
      </c>
      <c r="AQ27"/>
      <c r="AR27"/>
      <c r="AS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</row>
    <row r="28" spans="1:77" x14ac:dyDescent="0.2">
      <c r="A28" s="27" t="str">
        <f ca="1">OFFSET(AM$6,INT((ROW()-3)/3)-1,0)</f>
        <v>2026</v>
      </c>
      <c r="B28" s="19" t="str">
        <f ca="1">OFFSET(AN$6,INT((ROW()-3)/3)-1,0)</f>
        <v>June</v>
      </c>
      <c r="C28" s="22">
        <f t="shared" ref="C28" si="32">TIME(14,0,0)</f>
        <v>0.58333333333333337</v>
      </c>
      <c r="D28" s="18">
        <f t="shared" ref="D28" si="33">TIME(22,0,0)</f>
        <v>0.91666666666666663</v>
      </c>
      <c r="E28" s="20" t="str">
        <f>$AJ$7</f>
        <v>B</v>
      </c>
      <c r="F28" s="20" t="str">
        <f>$AJ$7</f>
        <v>B</v>
      </c>
      <c r="G28" s="20" t="str">
        <f>$AJ$7</f>
        <v>B</v>
      </c>
      <c r="H28" s="20" t="str">
        <f>$AJ$7</f>
        <v>B</v>
      </c>
      <c r="I28" s="20" t="str">
        <f>$AJ$7</f>
        <v>B</v>
      </c>
      <c r="J28" s="21"/>
      <c r="K28" s="21"/>
      <c r="L28" s="20" t="str">
        <f>$AJ$6</f>
        <v>A</v>
      </c>
      <c r="M28" s="20" t="str">
        <f>$AJ$6</f>
        <v>A</v>
      </c>
      <c r="N28" s="20" t="str">
        <f>$AJ$6</f>
        <v>A</v>
      </c>
      <c r="O28" s="20" t="str">
        <f>$AJ$6</f>
        <v>A</v>
      </c>
      <c r="P28" s="20" t="str">
        <f>$AJ$6</f>
        <v>A</v>
      </c>
      <c r="Q28" s="21"/>
      <c r="R28" s="21"/>
      <c r="S28" s="20" t="str">
        <f>$AJ$8</f>
        <v>C</v>
      </c>
      <c r="T28" s="20" t="str">
        <f>$AJ$8</f>
        <v>C</v>
      </c>
      <c r="U28" s="20" t="str">
        <f>$AJ$8</f>
        <v>C</v>
      </c>
      <c r="V28" s="20" t="str">
        <f>$AJ$8</f>
        <v>C</v>
      </c>
      <c r="W28" s="20" t="str">
        <f>$AJ$8</f>
        <v>C</v>
      </c>
      <c r="X28" s="21"/>
      <c r="Y28" s="21"/>
      <c r="Z28" s="20" t="str">
        <f>$AJ$7</f>
        <v>B</v>
      </c>
      <c r="AA28" s="20" t="str">
        <f>$AJ$7</f>
        <v>B</v>
      </c>
      <c r="AB28" s="20" t="str">
        <f>$AJ$7</f>
        <v>B</v>
      </c>
      <c r="AC28" s="20" t="str">
        <f>$AJ$7</f>
        <v>B</v>
      </c>
      <c r="AD28" s="20" t="str">
        <f>$AJ$7</f>
        <v>B</v>
      </c>
      <c r="AE28" s="21"/>
      <c r="AF28" s="21"/>
      <c r="AG28" s="20" t="str">
        <f>$AJ$6</f>
        <v>A</v>
      </c>
      <c r="AH28" s="20" t="str">
        <f>$AJ$6</f>
        <v>A</v>
      </c>
      <c r="AI28" s="21"/>
      <c r="AJ28" s="32"/>
      <c r="AL28" s="37">
        <v>22</v>
      </c>
      <c r="AM28" s="1" t="str">
        <f ca="1">TEXT(EDATE(TODAY(),AL28),"e")</f>
        <v>2027</v>
      </c>
      <c r="AN28" s="2" t="str">
        <f ca="1">TEXT(EDATE(TODAY(),AL28),"MMMM")</f>
        <v>September</v>
      </c>
      <c r="AQ28"/>
      <c r="AR28"/>
      <c r="AS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</row>
    <row r="29" spans="1:77" x14ac:dyDescent="0.2">
      <c r="A29" s="27" t="str">
        <f ca="1">OFFSET(AM$6,INT((ROW()-3)/3)-1,0)</f>
        <v>2026</v>
      </c>
      <c r="B29" s="19" t="str">
        <f ca="1">OFFSET(AN$6,INT((ROW()-3)/3)-1,0)</f>
        <v>June</v>
      </c>
      <c r="C29" s="22">
        <f>TIME(22,0,0)</f>
        <v>0.91666666666666663</v>
      </c>
      <c r="D29" s="18">
        <f t="shared" ref="D29" si="34">TIME(6,0,0)</f>
        <v>0.25</v>
      </c>
      <c r="E29" s="20" t="str">
        <f>$AJ$6</f>
        <v>A</v>
      </c>
      <c r="F29" s="20" t="str">
        <f>$AJ$6</f>
        <v>A</v>
      </c>
      <c r="G29" s="20" t="str">
        <f>$AJ$6</f>
        <v>A</v>
      </c>
      <c r="H29" s="20" t="str">
        <f>$AJ$6</f>
        <v>A</v>
      </c>
      <c r="I29" s="20" t="str">
        <f>$AJ$6</f>
        <v>A</v>
      </c>
      <c r="J29" s="21"/>
      <c r="K29" s="21"/>
      <c r="L29" s="20" t="str">
        <f>$AJ$8</f>
        <v>C</v>
      </c>
      <c r="M29" s="20" t="str">
        <f>$AJ$8</f>
        <v>C</v>
      </c>
      <c r="N29" s="20" t="str">
        <f>$AJ$8</f>
        <v>C</v>
      </c>
      <c r="O29" s="20" t="str">
        <f>$AJ$8</f>
        <v>C</v>
      </c>
      <c r="P29" s="20" t="str">
        <f>$AJ$8</f>
        <v>C</v>
      </c>
      <c r="Q29" s="21"/>
      <c r="R29" s="21"/>
      <c r="S29" s="20" t="str">
        <f>$AJ$7</f>
        <v>B</v>
      </c>
      <c r="T29" s="20" t="str">
        <f>$AJ$7</f>
        <v>B</v>
      </c>
      <c r="U29" s="20" t="str">
        <f>$AJ$7</f>
        <v>B</v>
      </c>
      <c r="V29" s="20" t="str">
        <f>$AJ$7</f>
        <v>B</v>
      </c>
      <c r="W29" s="20" t="str">
        <f>$AJ$7</f>
        <v>B</v>
      </c>
      <c r="X29" s="21"/>
      <c r="Y29" s="21"/>
      <c r="Z29" s="20" t="str">
        <f>$AJ$6</f>
        <v>A</v>
      </c>
      <c r="AA29" s="20" t="str">
        <f>$AJ$6</f>
        <v>A</v>
      </c>
      <c r="AB29" s="20" t="str">
        <f>$AJ$6</f>
        <v>A</v>
      </c>
      <c r="AC29" s="20" t="str">
        <f>$AJ$6</f>
        <v>A</v>
      </c>
      <c r="AD29" s="20" t="str">
        <f>$AJ$6</f>
        <v>A</v>
      </c>
      <c r="AE29" s="21"/>
      <c r="AF29" s="21"/>
      <c r="AG29" s="20" t="str">
        <f>$AJ$8</f>
        <v>C</v>
      </c>
      <c r="AH29" s="20" t="str">
        <f>$AJ$8</f>
        <v>C</v>
      </c>
      <c r="AI29" s="21"/>
      <c r="AJ29" s="32"/>
      <c r="AL29" s="37">
        <v>23</v>
      </c>
      <c r="AM29" s="1" t="str">
        <f ca="1">TEXT(EDATE(TODAY(),AL29),"e")</f>
        <v>2027</v>
      </c>
      <c r="AN29" s="2" t="str">
        <f ca="1">TEXT(EDATE(TODAY(),AL29),"MMMM")</f>
        <v>October</v>
      </c>
      <c r="AQ29"/>
      <c r="AR29"/>
      <c r="AS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</row>
    <row r="30" spans="1:77" x14ac:dyDescent="0.2">
      <c r="A30" s="27" t="str">
        <f ca="1">OFFSET(AM$6,INT((ROW()-3)/3)-1,0)</f>
        <v>2026</v>
      </c>
      <c r="B30" s="19" t="str">
        <f ca="1">OFFSET(AN$6,INT((ROW()-3)/3)-1,0)</f>
        <v>July</v>
      </c>
      <c r="C30" s="22">
        <f t="shared" ref="C30" si="35">TIME(6,0,0)</f>
        <v>0.25</v>
      </c>
      <c r="D30" s="18">
        <f t="shared" ref="D30" si="36">TIME(14,0,0)</f>
        <v>0.58333333333333337</v>
      </c>
      <c r="E30" s="20" t="str">
        <f>$AJ$7</f>
        <v>B</v>
      </c>
      <c r="F30" s="20" t="str">
        <f>$AJ$7</f>
        <v>B</v>
      </c>
      <c r="G30" s="20" t="str">
        <f>$AJ$7</f>
        <v>B</v>
      </c>
      <c r="H30" s="21"/>
      <c r="I30" s="21"/>
      <c r="J30" s="20" t="str">
        <f>$AJ$6</f>
        <v>A</v>
      </c>
      <c r="K30" s="20" t="str">
        <f>$AJ$6</f>
        <v>A</v>
      </c>
      <c r="L30" s="20" t="str">
        <f>$AJ$6</f>
        <v>A</v>
      </c>
      <c r="M30" s="20" t="str">
        <f>$AJ$6</f>
        <v>A</v>
      </c>
      <c r="N30" s="20" t="str">
        <f>$AJ$6</f>
        <v>A</v>
      </c>
      <c r="O30" s="21"/>
      <c r="P30" s="21"/>
      <c r="Q30" s="20" t="str">
        <f>$AJ$8</f>
        <v>C</v>
      </c>
      <c r="R30" s="20" t="str">
        <f>$AJ$8</f>
        <v>C</v>
      </c>
      <c r="S30" s="20" t="str">
        <f>$AJ$8</f>
        <v>C</v>
      </c>
      <c r="T30" s="20" t="str">
        <f>$AJ$8</f>
        <v>C</v>
      </c>
      <c r="U30" s="20" t="str">
        <f>$AJ$8</f>
        <v>C</v>
      </c>
      <c r="V30" s="21"/>
      <c r="W30" s="21"/>
      <c r="X30" s="20" t="str">
        <f>$AJ$7</f>
        <v>B</v>
      </c>
      <c r="Y30" s="20" t="str">
        <f>$AJ$7</f>
        <v>B</v>
      </c>
      <c r="Z30" s="20" t="str">
        <f>$AJ$7</f>
        <v>B</v>
      </c>
      <c r="AA30" s="20" t="str">
        <f>$AJ$7</f>
        <v>B</v>
      </c>
      <c r="AB30" s="20" t="str">
        <f>$AJ$7</f>
        <v>B</v>
      </c>
      <c r="AC30" s="21"/>
      <c r="AD30" s="21"/>
      <c r="AE30" s="20" t="str">
        <f>$AJ$6</f>
        <v>A</v>
      </c>
      <c r="AF30" s="20" t="str">
        <f>$AJ$6</f>
        <v>A</v>
      </c>
      <c r="AG30" s="20" t="str">
        <f>$AJ$6</f>
        <v>A</v>
      </c>
      <c r="AH30" s="20" t="str">
        <f>$AJ$6</f>
        <v>A</v>
      </c>
      <c r="AI30" s="20" t="str">
        <f>$AJ$6</f>
        <v>A</v>
      </c>
      <c r="AJ30" s="32"/>
      <c r="AL30" s="37">
        <v>24</v>
      </c>
      <c r="AM30" s="1" t="str">
        <f ca="1">TEXT(EDATE(TODAY(),AL30),"e")</f>
        <v>2027</v>
      </c>
      <c r="AN30" s="2" t="str">
        <f ca="1">TEXT(EDATE(TODAY(),AL30),"MMMM")</f>
        <v>November</v>
      </c>
      <c r="AQ30"/>
      <c r="AR30"/>
      <c r="AS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</row>
    <row r="31" spans="1:77" x14ac:dyDescent="0.2">
      <c r="A31" s="27" t="str">
        <f ca="1">OFFSET(AM$6,INT((ROW()-3)/3)-1,0)</f>
        <v>2026</v>
      </c>
      <c r="B31" s="19" t="str">
        <f ca="1">OFFSET(AN$6,INT((ROW()-3)/3)-1,0)</f>
        <v>July</v>
      </c>
      <c r="C31" s="22">
        <f t="shared" ref="C31" si="37">TIME(14,0,0)</f>
        <v>0.58333333333333337</v>
      </c>
      <c r="D31" s="18">
        <f t="shared" ref="D31" si="38">TIME(22,0,0)</f>
        <v>0.91666666666666663</v>
      </c>
      <c r="E31" s="20" t="str">
        <f>$AJ$6</f>
        <v>A</v>
      </c>
      <c r="F31" s="20" t="str">
        <f>$AJ$6</f>
        <v>A</v>
      </c>
      <c r="G31" s="20" t="str">
        <f>$AJ$6</f>
        <v>A</v>
      </c>
      <c r="H31" s="21"/>
      <c r="I31" s="21"/>
      <c r="J31" s="20" t="str">
        <f>$AJ$8</f>
        <v>C</v>
      </c>
      <c r="K31" s="20" t="str">
        <f>$AJ$8</f>
        <v>C</v>
      </c>
      <c r="L31" s="20" t="str">
        <f>$AJ$8</f>
        <v>C</v>
      </c>
      <c r="M31" s="20" t="str">
        <f>$AJ$8</f>
        <v>C</v>
      </c>
      <c r="N31" s="20" t="str">
        <f>$AJ$8</f>
        <v>C</v>
      </c>
      <c r="O31" s="21"/>
      <c r="P31" s="21"/>
      <c r="Q31" s="20" t="str">
        <f>$AJ$7</f>
        <v>B</v>
      </c>
      <c r="R31" s="20" t="str">
        <f>$AJ$7</f>
        <v>B</v>
      </c>
      <c r="S31" s="20" t="str">
        <f>$AJ$7</f>
        <v>B</v>
      </c>
      <c r="T31" s="20" t="str">
        <f>$AJ$7</f>
        <v>B</v>
      </c>
      <c r="U31" s="20" t="str">
        <f>$AJ$7</f>
        <v>B</v>
      </c>
      <c r="V31" s="21"/>
      <c r="W31" s="21"/>
      <c r="X31" s="20" t="str">
        <f>$AJ$6</f>
        <v>A</v>
      </c>
      <c r="Y31" s="20" t="str">
        <f>$AJ$6</f>
        <v>A</v>
      </c>
      <c r="Z31" s="20" t="str">
        <f>$AJ$6</f>
        <v>A</v>
      </c>
      <c r="AA31" s="20" t="str">
        <f>$AJ$6</f>
        <v>A</v>
      </c>
      <c r="AB31" s="20" t="str">
        <f>$AJ$6</f>
        <v>A</v>
      </c>
      <c r="AC31" s="21"/>
      <c r="AD31" s="21"/>
      <c r="AE31" s="20" t="str">
        <f>$AJ$8</f>
        <v>C</v>
      </c>
      <c r="AF31" s="20" t="str">
        <f>$AJ$8</f>
        <v>C</v>
      </c>
      <c r="AG31" s="20" t="str">
        <f>$AJ$8</f>
        <v>C</v>
      </c>
      <c r="AH31" s="20" t="str">
        <f>$AJ$8</f>
        <v>C</v>
      </c>
      <c r="AI31" s="20" t="str">
        <f>$AJ$8</f>
        <v>C</v>
      </c>
      <c r="AJ31" s="32"/>
      <c r="AL31" s="37">
        <v>25</v>
      </c>
      <c r="AM31" s="1" t="str">
        <f ca="1">TEXT(EDATE(TODAY(),AL31),"e")</f>
        <v>2027</v>
      </c>
      <c r="AN31" s="2" t="str">
        <f ca="1">TEXT(EDATE(TODAY(),AL31),"MMMM")</f>
        <v>December</v>
      </c>
      <c r="AQ31"/>
      <c r="AR31"/>
      <c r="AS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</row>
    <row r="32" spans="1:77" x14ac:dyDescent="0.2">
      <c r="A32" s="27" t="str">
        <f ca="1">OFFSET(AM$6,INT((ROW()-3)/3)-1,0)</f>
        <v>2026</v>
      </c>
      <c r="B32" s="19" t="str">
        <f ca="1">OFFSET(AN$6,INT((ROW()-3)/3)-1,0)</f>
        <v>July</v>
      </c>
      <c r="C32" s="22">
        <f>TIME(22,0,0)</f>
        <v>0.91666666666666663</v>
      </c>
      <c r="D32" s="18">
        <f t="shared" ref="D32" si="39">TIME(6,0,0)</f>
        <v>0.25</v>
      </c>
      <c r="E32" s="20" t="str">
        <f>$AJ$8</f>
        <v>C</v>
      </c>
      <c r="F32" s="20" t="str">
        <f>$AJ$8</f>
        <v>C</v>
      </c>
      <c r="G32" s="20" t="str">
        <f>$AJ$8</f>
        <v>C</v>
      </c>
      <c r="H32" s="21"/>
      <c r="I32" s="21"/>
      <c r="J32" s="20" t="str">
        <f>$AJ$7</f>
        <v>B</v>
      </c>
      <c r="K32" s="20" t="str">
        <f>$AJ$7</f>
        <v>B</v>
      </c>
      <c r="L32" s="20" t="str">
        <f>$AJ$7</f>
        <v>B</v>
      </c>
      <c r="M32" s="20" t="str">
        <f>$AJ$7</f>
        <v>B</v>
      </c>
      <c r="N32" s="20" t="str">
        <f>$AJ$7</f>
        <v>B</v>
      </c>
      <c r="O32" s="21"/>
      <c r="P32" s="21"/>
      <c r="Q32" s="20" t="str">
        <f>$AJ$6</f>
        <v>A</v>
      </c>
      <c r="R32" s="20" t="str">
        <f>$AJ$6</f>
        <v>A</v>
      </c>
      <c r="S32" s="20" t="str">
        <f>$AJ$6</f>
        <v>A</v>
      </c>
      <c r="T32" s="20" t="str">
        <f>$AJ$6</f>
        <v>A</v>
      </c>
      <c r="U32" s="20" t="str">
        <f>$AJ$6</f>
        <v>A</v>
      </c>
      <c r="V32" s="21"/>
      <c r="W32" s="21"/>
      <c r="X32" s="20" t="str">
        <f>$AJ$8</f>
        <v>C</v>
      </c>
      <c r="Y32" s="20" t="str">
        <f>$AJ$8</f>
        <v>C</v>
      </c>
      <c r="Z32" s="20" t="str">
        <f>$AJ$8</f>
        <v>C</v>
      </c>
      <c r="AA32" s="20" t="str">
        <f>$AJ$8</f>
        <v>C</v>
      </c>
      <c r="AB32" s="20" t="str">
        <f>$AJ$8</f>
        <v>C</v>
      </c>
      <c r="AC32" s="21"/>
      <c r="AD32" s="21"/>
      <c r="AE32" s="20" t="str">
        <f>$AJ$7</f>
        <v>B</v>
      </c>
      <c r="AF32" s="20" t="str">
        <f>$AJ$7</f>
        <v>B</v>
      </c>
      <c r="AG32" s="20" t="str">
        <f>$AJ$7</f>
        <v>B</v>
      </c>
      <c r="AH32" s="20" t="str">
        <f>$AJ$7</f>
        <v>B</v>
      </c>
      <c r="AI32" s="20" t="str">
        <f>$AJ$7</f>
        <v>B</v>
      </c>
      <c r="AJ32" s="32"/>
      <c r="AL32" s="37">
        <v>26</v>
      </c>
      <c r="AM32" s="1" t="str">
        <f ca="1">TEXT(EDATE(TODAY(),AL32),"e")</f>
        <v>2028</v>
      </c>
      <c r="AN32" s="2" t="str">
        <f ca="1">TEXT(EDATE(TODAY(),AL32),"MMMM")</f>
        <v>January</v>
      </c>
      <c r="AQ32"/>
      <c r="AR32"/>
      <c r="AS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</row>
    <row r="33" spans="1:77" x14ac:dyDescent="0.2">
      <c r="A33" s="27" t="str">
        <f ca="1">OFFSET(AM$6,INT((ROW()-3)/3)-1,0)</f>
        <v>2026</v>
      </c>
      <c r="B33" s="19" t="str">
        <f ca="1">OFFSET(AN$6,INT((ROW()-3)/3)-1,0)</f>
        <v>August</v>
      </c>
      <c r="C33" s="22">
        <f t="shared" ref="C33" si="40">TIME(6,0,0)</f>
        <v>0.25</v>
      </c>
      <c r="D33" s="18">
        <f t="shared" ref="D33" si="41">TIME(14,0,0)</f>
        <v>0.58333333333333337</v>
      </c>
      <c r="E33" s="21"/>
      <c r="F33" s="21"/>
      <c r="G33" s="20" t="str">
        <f>$AJ$8</f>
        <v>C</v>
      </c>
      <c r="H33" s="20" t="str">
        <f>$AJ$8</f>
        <v>C</v>
      </c>
      <c r="I33" s="20" t="str">
        <f>$AJ$8</f>
        <v>C</v>
      </c>
      <c r="J33" s="20" t="str">
        <f>$AJ$8</f>
        <v>C</v>
      </c>
      <c r="K33" s="20" t="str">
        <f>$AJ$8</f>
        <v>C</v>
      </c>
      <c r="L33" s="21"/>
      <c r="M33" s="21"/>
      <c r="N33" s="20" t="str">
        <f>$AJ$7</f>
        <v>B</v>
      </c>
      <c r="O33" s="20" t="str">
        <f>$AJ$7</f>
        <v>B</v>
      </c>
      <c r="P33" s="20" t="str">
        <f>$AJ$7</f>
        <v>B</v>
      </c>
      <c r="Q33" s="20" t="str">
        <f>$AJ$7</f>
        <v>B</v>
      </c>
      <c r="R33" s="20" t="str">
        <f>$AJ$7</f>
        <v>B</v>
      </c>
      <c r="S33" s="21"/>
      <c r="T33" s="21"/>
      <c r="U33" s="20" t="str">
        <f>$AJ$6</f>
        <v>A</v>
      </c>
      <c r="V33" s="20" t="str">
        <f>$AJ$6</f>
        <v>A</v>
      </c>
      <c r="W33" s="20" t="str">
        <f>$AJ$6</f>
        <v>A</v>
      </c>
      <c r="X33" s="20" t="str">
        <f>$AJ$6</f>
        <v>A</v>
      </c>
      <c r="Y33" s="20" t="str">
        <f>$AJ$6</f>
        <v>A</v>
      </c>
      <c r="Z33" s="21"/>
      <c r="AA33" s="21"/>
      <c r="AB33" s="20" t="str">
        <f>$AJ$8</f>
        <v>C</v>
      </c>
      <c r="AC33" s="20" t="str">
        <f>$AJ$8</f>
        <v>C</v>
      </c>
      <c r="AD33" s="20" t="str">
        <f>$AJ$8</f>
        <v>C</v>
      </c>
      <c r="AE33" s="20" t="str">
        <f>$AJ$8</f>
        <v>C</v>
      </c>
      <c r="AF33" s="20" t="str">
        <f>$AJ$8</f>
        <v>C</v>
      </c>
      <c r="AG33" s="21"/>
      <c r="AH33" s="21"/>
      <c r="AI33" s="20" t="str">
        <f>$AJ$7</f>
        <v>B</v>
      </c>
      <c r="AJ33" s="32"/>
      <c r="AL33" s="37">
        <v>27</v>
      </c>
      <c r="AM33" s="1" t="str">
        <f ca="1">TEXT(EDATE(TODAY(),AL33),"e")</f>
        <v>2028</v>
      </c>
      <c r="AN33" s="2" t="str">
        <f ca="1">TEXT(EDATE(TODAY(),AL33),"MMMM")</f>
        <v>February</v>
      </c>
      <c r="AQ33"/>
      <c r="AR33"/>
      <c r="AS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</row>
    <row r="34" spans="1:77" x14ac:dyDescent="0.2">
      <c r="A34" s="27" t="str">
        <f ca="1">OFFSET(AM$6,INT((ROW()-3)/3)-1,0)</f>
        <v>2026</v>
      </c>
      <c r="B34" s="19" t="str">
        <f ca="1">OFFSET(AN$6,INT((ROW()-3)/3)-1,0)</f>
        <v>August</v>
      </c>
      <c r="C34" s="22">
        <f t="shared" ref="C34" si="42">TIME(14,0,0)</f>
        <v>0.58333333333333337</v>
      </c>
      <c r="D34" s="18">
        <f t="shared" ref="D34" si="43">TIME(22,0,0)</f>
        <v>0.91666666666666663</v>
      </c>
      <c r="E34" s="21"/>
      <c r="F34" s="21"/>
      <c r="G34" s="20" t="str">
        <f>$AJ$7</f>
        <v>B</v>
      </c>
      <c r="H34" s="20" t="str">
        <f>$AJ$7</f>
        <v>B</v>
      </c>
      <c r="I34" s="20" t="str">
        <f>$AJ$7</f>
        <v>B</v>
      </c>
      <c r="J34" s="20" t="str">
        <f>$AJ$7</f>
        <v>B</v>
      </c>
      <c r="K34" s="20" t="str">
        <f>$AJ$7</f>
        <v>B</v>
      </c>
      <c r="L34" s="21"/>
      <c r="M34" s="21"/>
      <c r="N34" s="20" t="str">
        <f>$AJ$6</f>
        <v>A</v>
      </c>
      <c r="O34" s="20" t="str">
        <f>$AJ$6</f>
        <v>A</v>
      </c>
      <c r="P34" s="20" t="str">
        <f>$AJ$6</f>
        <v>A</v>
      </c>
      <c r="Q34" s="20" t="str">
        <f>$AJ$6</f>
        <v>A</v>
      </c>
      <c r="R34" s="20" t="str">
        <f>$AJ$6</f>
        <v>A</v>
      </c>
      <c r="S34" s="21"/>
      <c r="T34" s="21"/>
      <c r="U34" s="20" t="str">
        <f>$AJ$8</f>
        <v>C</v>
      </c>
      <c r="V34" s="20" t="str">
        <f>$AJ$8</f>
        <v>C</v>
      </c>
      <c r="W34" s="20" t="str">
        <f>$AJ$8</f>
        <v>C</v>
      </c>
      <c r="X34" s="20" t="str">
        <f>$AJ$8</f>
        <v>C</v>
      </c>
      <c r="Y34" s="20" t="str">
        <f>$AJ$8</f>
        <v>C</v>
      </c>
      <c r="Z34" s="21"/>
      <c r="AA34" s="21"/>
      <c r="AB34" s="20" t="str">
        <f>$AJ$7</f>
        <v>B</v>
      </c>
      <c r="AC34" s="20" t="str">
        <f>$AJ$7</f>
        <v>B</v>
      </c>
      <c r="AD34" s="20" t="str">
        <f>$AJ$7</f>
        <v>B</v>
      </c>
      <c r="AE34" s="20" t="str">
        <f>$AJ$7</f>
        <v>B</v>
      </c>
      <c r="AF34" s="20" t="str">
        <f>$AJ$7</f>
        <v>B</v>
      </c>
      <c r="AG34" s="21"/>
      <c r="AH34" s="21"/>
      <c r="AI34" s="20" t="str">
        <f>$AJ$6</f>
        <v>A</v>
      </c>
      <c r="AJ34" s="32"/>
      <c r="AL34" s="37">
        <v>28</v>
      </c>
      <c r="AM34" s="1" t="str">
        <f ca="1">TEXT(EDATE(TODAY(),AL34),"e")</f>
        <v>2028</v>
      </c>
      <c r="AN34" s="2" t="str">
        <f ca="1">TEXT(EDATE(TODAY(),AL34),"MMMM")</f>
        <v>March</v>
      </c>
      <c r="AQ34"/>
      <c r="AR34"/>
      <c r="AS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</row>
    <row r="35" spans="1:77" x14ac:dyDescent="0.2">
      <c r="A35" s="27" t="str">
        <f ca="1">OFFSET(AM$6,INT((ROW()-3)/3)-1,0)</f>
        <v>2026</v>
      </c>
      <c r="B35" s="19" t="str">
        <f ca="1">OFFSET(AN$6,INT((ROW()-3)/3)-1,0)</f>
        <v>August</v>
      </c>
      <c r="C35" s="22">
        <f>TIME(22,0,0)</f>
        <v>0.91666666666666663</v>
      </c>
      <c r="D35" s="18">
        <f t="shared" ref="D35" si="44">TIME(6,0,0)</f>
        <v>0.25</v>
      </c>
      <c r="E35" s="21"/>
      <c r="F35" s="21"/>
      <c r="G35" s="20" t="str">
        <f>$AJ$6</f>
        <v>A</v>
      </c>
      <c r="H35" s="20" t="str">
        <f>$AJ$6</f>
        <v>A</v>
      </c>
      <c r="I35" s="20" t="str">
        <f>$AJ$6</f>
        <v>A</v>
      </c>
      <c r="J35" s="20" t="str">
        <f>$AJ$6</f>
        <v>A</v>
      </c>
      <c r="K35" s="20" t="str">
        <f>$AJ$6</f>
        <v>A</v>
      </c>
      <c r="L35" s="21"/>
      <c r="M35" s="21"/>
      <c r="N35" s="20" t="str">
        <f>$AJ$8</f>
        <v>C</v>
      </c>
      <c r="O35" s="20" t="str">
        <f>$AJ$8</f>
        <v>C</v>
      </c>
      <c r="P35" s="20" t="str">
        <f>$AJ$8</f>
        <v>C</v>
      </c>
      <c r="Q35" s="20" t="str">
        <f>$AJ$8</f>
        <v>C</v>
      </c>
      <c r="R35" s="20" t="str">
        <f>$AJ$8</f>
        <v>C</v>
      </c>
      <c r="S35" s="21"/>
      <c r="T35" s="21"/>
      <c r="U35" s="20" t="str">
        <f>$AJ$7</f>
        <v>B</v>
      </c>
      <c r="V35" s="20" t="str">
        <f>$AJ$7</f>
        <v>B</v>
      </c>
      <c r="W35" s="20" t="str">
        <f>$AJ$7</f>
        <v>B</v>
      </c>
      <c r="X35" s="20" t="str">
        <f>$AJ$7</f>
        <v>B</v>
      </c>
      <c r="Y35" s="20" t="str">
        <f>$AJ$7</f>
        <v>B</v>
      </c>
      <c r="Z35" s="21"/>
      <c r="AA35" s="21"/>
      <c r="AB35" s="20" t="str">
        <f>$AJ$6</f>
        <v>A</v>
      </c>
      <c r="AC35" s="20" t="str">
        <f>$AJ$6</f>
        <v>A</v>
      </c>
      <c r="AD35" s="20" t="str">
        <f>$AJ$6</f>
        <v>A</v>
      </c>
      <c r="AE35" s="20" t="str">
        <f>$AJ$6</f>
        <v>A</v>
      </c>
      <c r="AF35" s="20" t="str">
        <f>$AJ$6</f>
        <v>A</v>
      </c>
      <c r="AG35" s="21"/>
      <c r="AH35" s="21"/>
      <c r="AI35" s="20" t="str">
        <f>$AJ$8</f>
        <v>C</v>
      </c>
      <c r="AJ35" s="32"/>
      <c r="AL35" s="37">
        <v>29</v>
      </c>
      <c r="AM35" s="1" t="str">
        <f ca="1">TEXT(EDATE(TODAY(),AL35),"e")</f>
        <v>2028</v>
      </c>
      <c r="AN35" s="2" t="str">
        <f ca="1">TEXT(EDATE(TODAY(),AL35),"MMMM")</f>
        <v>April</v>
      </c>
      <c r="AQ35"/>
      <c r="AR35"/>
      <c r="AS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</row>
    <row r="36" spans="1:77" x14ac:dyDescent="0.2">
      <c r="A36" s="27" t="str">
        <f ca="1">OFFSET(AM$6,INT((ROW()-3)/3)-1,0)</f>
        <v>2026</v>
      </c>
      <c r="B36" s="19" t="str">
        <f ca="1">OFFSET(AN$6,INT((ROW()-3)/3)-1,0)</f>
        <v>September</v>
      </c>
      <c r="C36" s="22">
        <f t="shared" ref="C36" si="45">TIME(6,0,0)</f>
        <v>0.25</v>
      </c>
      <c r="D36" s="18">
        <f t="shared" ref="D36" si="46">TIME(14,0,0)</f>
        <v>0.58333333333333337</v>
      </c>
      <c r="E36" s="20" t="str">
        <f>$AJ$7</f>
        <v>B</v>
      </c>
      <c r="F36" s="20" t="str">
        <f>$AJ$7</f>
        <v>B</v>
      </c>
      <c r="G36" s="20" t="str">
        <f>$AJ$7</f>
        <v>B</v>
      </c>
      <c r="H36" s="20" t="str">
        <f>$AJ$7</f>
        <v>B</v>
      </c>
      <c r="I36" s="21"/>
      <c r="J36" s="21"/>
      <c r="K36" s="20" t="str">
        <f>$AJ$6</f>
        <v>A</v>
      </c>
      <c r="L36" s="20" t="str">
        <f>$AJ$6</f>
        <v>A</v>
      </c>
      <c r="M36" s="20" t="str">
        <f>$AJ$6</f>
        <v>A</v>
      </c>
      <c r="N36" s="20" t="str">
        <f>$AJ$6</f>
        <v>A</v>
      </c>
      <c r="O36" s="20" t="str">
        <f>$AJ$6</f>
        <v>A</v>
      </c>
      <c r="P36" s="21"/>
      <c r="Q36" s="21"/>
      <c r="R36" s="20" t="str">
        <f>$AJ$8</f>
        <v>C</v>
      </c>
      <c r="S36" s="20" t="str">
        <f>$AJ$8</f>
        <v>C</v>
      </c>
      <c r="T36" s="20" t="str">
        <f>$AJ$8</f>
        <v>C</v>
      </c>
      <c r="U36" s="20" t="str">
        <f>$AJ$8</f>
        <v>C</v>
      </c>
      <c r="V36" s="20" t="str">
        <f>$AJ$8</f>
        <v>C</v>
      </c>
      <c r="W36" s="21"/>
      <c r="X36" s="21"/>
      <c r="Y36" s="20" t="str">
        <f>$AJ$7</f>
        <v>B</v>
      </c>
      <c r="Z36" s="20" t="str">
        <f>$AJ$7</f>
        <v>B</v>
      </c>
      <c r="AA36" s="20" t="str">
        <f>$AJ$7</f>
        <v>B</v>
      </c>
      <c r="AB36" s="20" t="str">
        <f>$AJ$7</f>
        <v>B</v>
      </c>
      <c r="AC36" s="20" t="str">
        <f>$AJ$7</f>
        <v>B</v>
      </c>
      <c r="AD36" s="21"/>
      <c r="AE36" s="21"/>
      <c r="AF36" s="20" t="str">
        <f>$AJ$6</f>
        <v>A</v>
      </c>
      <c r="AG36" s="20" t="str">
        <f>$AJ$6</f>
        <v>A</v>
      </c>
      <c r="AH36" s="20" t="str">
        <f>$AJ$6</f>
        <v>A</v>
      </c>
      <c r="AI36" s="20"/>
      <c r="AJ36" s="32"/>
      <c r="AL36" s="37">
        <v>30</v>
      </c>
      <c r="AM36" s="1" t="str">
        <f ca="1">TEXT(EDATE(TODAY(),AL36),"e")</f>
        <v>2028</v>
      </c>
      <c r="AN36" s="2" t="str">
        <f ca="1">TEXT(EDATE(TODAY(),AL36),"MMMM")</f>
        <v>May</v>
      </c>
      <c r="AQ36"/>
      <c r="AR36"/>
      <c r="AS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</row>
    <row r="37" spans="1:77" x14ac:dyDescent="0.2">
      <c r="A37" s="27" t="str">
        <f ca="1">OFFSET(AM$6,INT((ROW()-3)/3)-1,0)</f>
        <v>2026</v>
      </c>
      <c r="B37" s="19" t="str">
        <f ca="1">OFFSET(AN$6,INT((ROW()-3)/3)-1,0)</f>
        <v>September</v>
      </c>
      <c r="C37" s="22">
        <f t="shared" ref="C37" si="47">TIME(14,0,0)</f>
        <v>0.58333333333333337</v>
      </c>
      <c r="D37" s="18">
        <f t="shared" ref="D37" si="48">TIME(22,0,0)</f>
        <v>0.91666666666666663</v>
      </c>
      <c r="E37" s="20" t="str">
        <f>$AJ$6</f>
        <v>A</v>
      </c>
      <c r="F37" s="20" t="str">
        <f>$AJ$6</f>
        <v>A</v>
      </c>
      <c r="G37" s="20" t="str">
        <f>$AJ$6</f>
        <v>A</v>
      </c>
      <c r="H37" s="20" t="str">
        <f>$AJ$6</f>
        <v>A</v>
      </c>
      <c r="I37" s="21"/>
      <c r="J37" s="21"/>
      <c r="K37" s="20" t="str">
        <f>$AJ$8</f>
        <v>C</v>
      </c>
      <c r="L37" s="20" t="str">
        <f>$AJ$8</f>
        <v>C</v>
      </c>
      <c r="M37" s="20" t="str">
        <f>$AJ$8</f>
        <v>C</v>
      </c>
      <c r="N37" s="20" t="str">
        <f>$AJ$8</f>
        <v>C</v>
      </c>
      <c r="O37" s="20" t="str">
        <f>$AJ$8</f>
        <v>C</v>
      </c>
      <c r="P37" s="21"/>
      <c r="Q37" s="21"/>
      <c r="R37" s="20" t="str">
        <f>$AJ$7</f>
        <v>B</v>
      </c>
      <c r="S37" s="20" t="str">
        <f>$AJ$7</f>
        <v>B</v>
      </c>
      <c r="T37" s="20" t="str">
        <f>$AJ$7</f>
        <v>B</v>
      </c>
      <c r="U37" s="20" t="str">
        <f>$AJ$7</f>
        <v>B</v>
      </c>
      <c r="V37" s="20" t="str">
        <f>$AJ$7</f>
        <v>B</v>
      </c>
      <c r="W37" s="21"/>
      <c r="X37" s="21"/>
      <c r="Y37" s="20" t="str">
        <f>$AJ$6</f>
        <v>A</v>
      </c>
      <c r="Z37" s="20" t="str">
        <f>$AJ$6</f>
        <v>A</v>
      </c>
      <c r="AA37" s="20" t="str">
        <f>$AJ$6</f>
        <v>A</v>
      </c>
      <c r="AB37" s="20" t="str">
        <f>$AJ$6</f>
        <v>A</v>
      </c>
      <c r="AC37" s="20" t="str">
        <f>$AJ$6</f>
        <v>A</v>
      </c>
      <c r="AD37" s="21"/>
      <c r="AE37" s="21"/>
      <c r="AF37" s="20" t="str">
        <f>$AJ$8</f>
        <v>C</v>
      </c>
      <c r="AG37" s="20" t="str">
        <f>$AJ$8</f>
        <v>C</v>
      </c>
      <c r="AH37" s="20" t="str">
        <f>$AJ$8</f>
        <v>C</v>
      </c>
      <c r="AI37" s="20"/>
      <c r="AJ37" s="32"/>
      <c r="AL37" s="37">
        <v>31</v>
      </c>
      <c r="AM37" s="1" t="str">
        <f ca="1">TEXT(EDATE(TODAY(),AL37),"e")</f>
        <v>2028</v>
      </c>
      <c r="AN37" s="2" t="str">
        <f ca="1">TEXT(EDATE(TODAY(),AL37),"MMMM")</f>
        <v>June</v>
      </c>
      <c r="AQ37"/>
      <c r="AR37"/>
      <c r="AS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</row>
    <row r="38" spans="1:77" x14ac:dyDescent="0.2">
      <c r="A38" s="27" t="str">
        <f ca="1">OFFSET(AM$6,INT((ROW()-3)/3)-1,0)</f>
        <v>2026</v>
      </c>
      <c r="B38" s="19" t="str">
        <f ca="1">OFFSET(AN$6,INT((ROW()-3)/3)-1,0)</f>
        <v>September</v>
      </c>
      <c r="C38" s="22">
        <f>TIME(22,0,0)</f>
        <v>0.91666666666666663</v>
      </c>
      <c r="D38" s="18">
        <f t="shared" ref="D38" si="49">TIME(6,0,0)</f>
        <v>0.25</v>
      </c>
      <c r="E38" s="20" t="str">
        <f>$AJ$8</f>
        <v>C</v>
      </c>
      <c r="F38" s="20" t="str">
        <f>$AJ$8</f>
        <v>C</v>
      </c>
      <c r="G38" s="20" t="str">
        <f>$AJ$8</f>
        <v>C</v>
      </c>
      <c r="H38" s="20" t="str">
        <f>$AJ$8</f>
        <v>C</v>
      </c>
      <c r="I38" s="21"/>
      <c r="J38" s="21"/>
      <c r="K38" s="20" t="str">
        <f>$AJ$7</f>
        <v>B</v>
      </c>
      <c r="L38" s="20" t="str">
        <f>$AJ$7</f>
        <v>B</v>
      </c>
      <c r="M38" s="20" t="str">
        <f>$AJ$7</f>
        <v>B</v>
      </c>
      <c r="N38" s="20" t="str">
        <f>$AJ$7</f>
        <v>B</v>
      </c>
      <c r="O38" s="20" t="str">
        <f>$AJ$7</f>
        <v>B</v>
      </c>
      <c r="P38" s="21"/>
      <c r="Q38" s="21"/>
      <c r="R38" s="20" t="str">
        <f>$AJ$6</f>
        <v>A</v>
      </c>
      <c r="S38" s="20" t="str">
        <f>$AJ$6</f>
        <v>A</v>
      </c>
      <c r="T38" s="20" t="str">
        <f>$AJ$6</f>
        <v>A</v>
      </c>
      <c r="U38" s="20" t="str">
        <f>$AJ$6</f>
        <v>A</v>
      </c>
      <c r="V38" s="20" t="str">
        <f>$AJ$6</f>
        <v>A</v>
      </c>
      <c r="W38" s="21"/>
      <c r="X38" s="21"/>
      <c r="Y38" s="20" t="str">
        <f>$AJ$8</f>
        <v>C</v>
      </c>
      <c r="Z38" s="20" t="str">
        <f>$AJ$8</f>
        <v>C</v>
      </c>
      <c r="AA38" s="20" t="str">
        <f>$AJ$8</f>
        <v>C</v>
      </c>
      <c r="AB38" s="20" t="str">
        <f>$AJ$8</f>
        <v>C</v>
      </c>
      <c r="AC38" s="20" t="str">
        <f>$AJ$8</f>
        <v>C</v>
      </c>
      <c r="AD38" s="21"/>
      <c r="AE38" s="21"/>
      <c r="AF38" s="20" t="str">
        <f>$AJ$7</f>
        <v>B</v>
      </c>
      <c r="AG38" s="20" t="str">
        <f>$AJ$7</f>
        <v>B</v>
      </c>
      <c r="AH38" s="20" t="str">
        <f>$AJ$7</f>
        <v>B</v>
      </c>
      <c r="AI38" s="20"/>
      <c r="AJ38" s="32"/>
      <c r="AL38" s="37">
        <v>32</v>
      </c>
      <c r="AM38" s="1" t="str">
        <f ca="1">TEXT(EDATE(TODAY(),AL38),"e")</f>
        <v>2028</v>
      </c>
      <c r="AN38" s="2" t="str">
        <f ca="1">TEXT(EDATE(TODAY(),AL38),"MMMM")</f>
        <v>July</v>
      </c>
      <c r="AQ38"/>
      <c r="AR38"/>
      <c r="AS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x14ac:dyDescent="0.2">
      <c r="A39" s="27" t="str">
        <f ca="1">OFFSET(AM$6,INT((ROW()-3)/3)-1,0)</f>
        <v>2026</v>
      </c>
      <c r="B39" s="19" t="str">
        <f ca="1">OFFSET(AN$6,INT((ROW()-3)/3)-1,0)</f>
        <v>October</v>
      </c>
      <c r="C39" s="22">
        <f t="shared" ref="C39" si="50">TIME(6,0,0)</f>
        <v>0.25</v>
      </c>
      <c r="D39" s="18">
        <f t="shared" ref="D39" si="51">TIME(14,0,0)</f>
        <v>0.58333333333333337</v>
      </c>
      <c r="E39" s="20" t="str">
        <f>$AJ$6</f>
        <v>A</v>
      </c>
      <c r="F39" s="20" t="str">
        <f>$AJ$6</f>
        <v>A</v>
      </c>
      <c r="G39" s="21"/>
      <c r="H39" s="21"/>
      <c r="I39" s="20" t="str">
        <f>$AJ$8</f>
        <v>C</v>
      </c>
      <c r="J39" s="20" t="str">
        <f>$AJ$8</f>
        <v>C</v>
      </c>
      <c r="K39" s="20" t="str">
        <f>$AJ$8</f>
        <v>C</v>
      </c>
      <c r="L39" s="20" t="str">
        <f>$AJ$8</f>
        <v>C</v>
      </c>
      <c r="M39" s="20" t="str">
        <f>$AJ$8</f>
        <v>C</v>
      </c>
      <c r="N39" s="21"/>
      <c r="O39" s="21"/>
      <c r="P39" s="20" t="str">
        <f>$AJ$7</f>
        <v>B</v>
      </c>
      <c r="Q39" s="20" t="str">
        <f>$AJ$7</f>
        <v>B</v>
      </c>
      <c r="R39" s="20" t="str">
        <f>$AJ$7</f>
        <v>B</v>
      </c>
      <c r="S39" s="20" t="str">
        <f>$AJ$7</f>
        <v>B</v>
      </c>
      <c r="T39" s="20" t="str">
        <f>$AJ$7</f>
        <v>B</v>
      </c>
      <c r="U39" s="21"/>
      <c r="V39" s="21"/>
      <c r="W39" s="20" t="str">
        <f>$AJ$6</f>
        <v>A</v>
      </c>
      <c r="X39" s="20" t="str">
        <f>$AJ$6</f>
        <v>A</v>
      </c>
      <c r="Y39" s="20" t="str">
        <f>$AJ$6</f>
        <v>A</v>
      </c>
      <c r="Z39" s="20" t="str">
        <f>$AJ$6</f>
        <v>A</v>
      </c>
      <c r="AA39" s="20" t="str">
        <f>$AJ$6</f>
        <v>A</v>
      </c>
      <c r="AB39" s="21"/>
      <c r="AC39" s="21"/>
      <c r="AD39" s="20" t="str">
        <f>$AJ$8</f>
        <v>C</v>
      </c>
      <c r="AE39" s="20" t="str">
        <f>$AJ$8</f>
        <v>C</v>
      </c>
      <c r="AF39" s="20" t="str">
        <f>$AJ$8</f>
        <v>C</v>
      </c>
      <c r="AG39" s="20" t="str">
        <f>$AJ$8</f>
        <v>C</v>
      </c>
      <c r="AH39" s="20" t="str">
        <f>$AJ$8</f>
        <v>C</v>
      </c>
      <c r="AI39" s="21"/>
      <c r="AJ39" s="32"/>
      <c r="AL39" s="37">
        <v>33</v>
      </c>
      <c r="AM39" s="1" t="str">
        <f ca="1">TEXT(EDATE(TODAY(),AL39),"e")</f>
        <v>2028</v>
      </c>
      <c r="AN39" s="2" t="str">
        <f ca="1">TEXT(EDATE(TODAY(),AL39),"MMMM")</f>
        <v>August</v>
      </c>
      <c r="AQ39"/>
      <c r="AR39"/>
      <c r="AS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x14ac:dyDescent="0.2">
      <c r="A40" s="27" t="str">
        <f ca="1">OFFSET(AM$6,INT((ROW()-3)/3)-1,0)</f>
        <v>2026</v>
      </c>
      <c r="B40" s="19" t="str">
        <f ca="1">OFFSET(AN$6,INT((ROW()-3)/3)-1,0)</f>
        <v>October</v>
      </c>
      <c r="C40" s="22">
        <f t="shared" ref="C40" si="52">TIME(14,0,0)</f>
        <v>0.58333333333333337</v>
      </c>
      <c r="D40" s="18">
        <f t="shared" ref="D40" si="53">TIME(22,0,0)</f>
        <v>0.91666666666666663</v>
      </c>
      <c r="E40" s="20" t="str">
        <f>$AJ$8</f>
        <v>C</v>
      </c>
      <c r="F40" s="20" t="str">
        <f>$AJ$8</f>
        <v>C</v>
      </c>
      <c r="G40" s="21"/>
      <c r="H40" s="21"/>
      <c r="I40" s="20" t="str">
        <f>$AJ$7</f>
        <v>B</v>
      </c>
      <c r="J40" s="20" t="str">
        <f>$AJ$7</f>
        <v>B</v>
      </c>
      <c r="K40" s="20" t="str">
        <f>$AJ$7</f>
        <v>B</v>
      </c>
      <c r="L40" s="20" t="str">
        <f>$AJ$7</f>
        <v>B</v>
      </c>
      <c r="M40" s="20" t="str">
        <f>$AJ$7</f>
        <v>B</v>
      </c>
      <c r="N40" s="21"/>
      <c r="O40" s="21"/>
      <c r="P40" s="20" t="str">
        <f>$AJ$6</f>
        <v>A</v>
      </c>
      <c r="Q40" s="20" t="str">
        <f>$AJ$6</f>
        <v>A</v>
      </c>
      <c r="R40" s="20" t="str">
        <f>$AJ$6</f>
        <v>A</v>
      </c>
      <c r="S40" s="20" t="str">
        <f>$AJ$6</f>
        <v>A</v>
      </c>
      <c r="T40" s="20" t="str">
        <f>$AJ$6</f>
        <v>A</v>
      </c>
      <c r="U40" s="21"/>
      <c r="V40" s="21"/>
      <c r="W40" s="20" t="str">
        <f>$AJ$8</f>
        <v>C</v>
      </c>
      <c r="X40" s="20" t="str">
        <f>$AJ$8</f>
        <v>C</v>
      </c>
      <c r="Y40" s="20" t="str">
        <f>$AJ$8</f>
        <v>C</v>
      </c>
      <c r="Z40" s="20" t="str">
        <f>$AJ$8</f>
        <v>C</v>
      </c>
      <c r="AA40" s="20" t="str">
        <f>$AJ$8</f>
        <v>C</v>
      </c>
      <c r="AB40" s="21"/>
      <c r="AC40" s="21"/>
      <c r="AD40" s="20" t="str">
        <f>$AJ$7</f>
        <v>B</v>
      </c>
      <c r="AE40" s="20" t="str">
        <f>$AJ$7</f>
        <v>B</v>
      </c>
      <c r="AF40" s="20" t="str">
        <f>$AJ$7</f>
        <v>B</v>
      </c>
      <c r="AG40" s="20" t="str">
        <f>$AJ$7</f>
        <v>B</v>
      </c>
      <c r="AH40" s="20" t="str">
        <f>$AJ$7</f>
        <v>B</v>
      </c>
      <c r="AI40" s="21"/>
      <c r="AJ40" s="32"/>
      <c r="AL40" s="37">
        <v>34</v>
      </c>
      <c r="AM40" s="1" t="str">
        <f ca="1">TEXT(EDATE(TODAY(),AL40),"e")</f>
        <v>2028</v>
      </c>
      <c r="AN40" s="2" t="str">
        <f ca="1">TEXT(EDATE(TODAY(),AL40),"MMMM")</f>
        <v>September</v>
      </c>
      <c r="AQ40"/>
      <c r="AR40"/>
      <c r="AS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</row>
    <row r="41" spans="1:77" x14ac:dyDescent="0.2">
      <c r="A41" s="27" t="str">
        <f ca="1">OFFSET(AM$6,INT((ROW()-3)/3)-1,0)</f>
        <v>2026</v>
      </c>
      <c r="B41" s="19" t="str">
        <f ca="1">OFFSET(AN$6,INT((ROW()-3)/3)-1,0)</f>
        <v>October</v>
      </c>
      <c r="C41" s="22">
        <f>TIME(22,0,0)</f>
        <v>0.91666666666666663</v>
      </c>
      <c r="D41" s="18">
        <f t="shared" ref="D41" si="54">TIME(6,0,0)</f>
        <v>0.25</v>
      </c>
      <c r="E41" s="20" t="str">
        <f>$AJ$7</f>
        <v>B</v>
      </c>
      <c r="F41" s="20" t="str">
        <f>$AJ$7</f>
        <v>B</v>
      </c>
      <c r="G41" s="21"/>
      <c r="H41" s="21"/>
      <c r="I41" s="20" t="str">
        <f>$AJ$6</f>
        <v>A</v>
      </c>
      <c r="J41" s="20" t="str">
        <f>$AJ$6</f>
        <v>A</v>
      </c>
      <c r="K41" s="20" t="str">
        <f>$AJ$6</f>
        <v>A</v>
      </c>
      <c r="L41" s="20" t="str">
        <f>$AJ$6</f>
        <v>A</v>
      </c>
      <c r="M41" s="20" t="str">
        <f>$AJ$6</f>
        <v>A</v>
      </c>
      <c r="N41" s="21"/>
      <c r="O41" s="21"/>
      <c r="P41" s="20" t="str">
        <f>$AJ$8</f>
        <v>C</v>
      </c>
      <c r="Q41" s="20" t="str">
        <f>$AJ$8</f>
        <v>C</v>
      </c>
      <c r="R41" s="20" t="str">
        <f>$AJ$8</f>
        <v>C</v>
      </c>
      <c r="S41" s="20" t="str">
        <f>$AJ$8</f>
        <v>C</v>
      </c>
      <c r="T41" s="20" t="str">
        <f>$AJ$8</f>
        <v>C</v>
      </c>
      <c r="U41" s="21"/>
      <c r="V41" s="21"/>
      <c r="W41" s="20" t="str">
        <f>$AJ$7</f>
        <v>B</v>
      </c>
      <c r="X41" s="20" t="str">
        <f>$AJ$7</f>
        <v>B</v>
      </c>
      <c r="Y41" s="20" t="str">
        <f>$AJ$7</f>
        <v>B</v>
      </c>
      <c r="Z41" s="20" t="str">
        <f>$AJ$7</f>
        <v>B</v>
      </c>
      <c r="AA41" s="20" t="str">
        <f>$AJ$7</f>
        <v>B</v>
      </c>
      <c r="AB41" s="21"/>
      <c r="AC41" s="21"/>
      <c r="AD41" s="20" t="str">
        <f>$AJ$6</f>
        <v>A</v>
      </c>
      <c r="AE41" s="20" t="str">
        <f>$AJ$6</f>
        <v>A</v>
      </c>
      <c r="AF41" s="20" t="str">
        <f>$AJ$6</f>
        <v>A</v>
      </c>
      <c r="AG41" s="20" t="str">
        <f>$AJ$6</f>
        <v>A</v>
      </c>
      <c r="AH41" s="20" t="str">
        <f>$AJ$6</f>
        <v>A</v>
      </c>
      <c r="AI41" s="21"/>
      <c r="AJ41" s="32"/>
      <c r="AL41" s="37">
        <v>35</v>
      </c>
      <c r="AM41" s="1" t="str">
        <f ca="1">TEXT(EDATE(TODAY(),AL41),"e")</f>
        <v>2028</v>
      </c>
      <c r="AN41" s="2" t="str">
        <f ca="1">TEXT(EDATE(TODAY(),AL41),"MMMM")</f>
        <v>October</v>
      </c>
      <c r="AQ41"/>
      <c r="AR41"/>
      <c r="AS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x14ac:dyDescent="0.2">
      <c r="A42" s="27" t="str">
        <f ca="1">OFFSET(AM$6,INT((ROW()-3)/3)-1,0)</f>
        <v>2026</v>
      </c>
      <c r="B42" s="19" t="str">
        <f ca="1">OFFSET(AN$6,INT((ROW()-3)/3)-1,0)</f>
        <v>November</v>
      </c>
      <c r="C42" s="22">
        <f t="shared" ref="C42" si="55">TIME(6,0,0)</f>
        <v>0.25</v>
      </c>
      <c r="D42" s="18">
        <f t="shared" ref="D42" si="56">TIME(14,0,0)</f>
        <v>0.58333333333333337</v>
      </c>
      <c r="E42" s="21"/>
      <c r="F42" s="20" t="str">
        <f>$AJ$7</f>
        <v>B</v>
      </c>
      <c r="G42" s="20" t="str">
        <f>$AJ$7</f>
        <v>B</v>
      </c>
      <c r="H42" s="20" t="str">
        <f>$AJ$7</f>
        <v>B</v>
      </c>
      <c r="I42" s="20" t="str">
        <f>$AJ$7</f>
        <v>B</v>
      </c>
      <c r="J42" s="20" t="str">
        <f>$AJ$7</f>
        <v>B</v>
      </c>
      <c r="K42" s="21"/>
      <c r="L42" s="21"/>
      <c r="M42" s="20" t="str">
        <f>$AJ$6</f>
        <v>A</v>
      </c>
      <c r="N42" s="20" t="str">
        <f>$AJ$6</f>
        <v>A</v>
      </c>
      <c r="O42" s="20" t="str">
        <f>$AJ$6</f>
        <v>A</v>
      </c>
      <c r="P42" s="20" t="str">
        <f>$AJ$6</f>
        <v>A</v>
      </c>
      <c r="Q42" s="20" t="str">
        <f>$AJ$6</f>
        <v>A</v>
      </c>
      <c r="R42" s="21"/>
      <c r="S42" s="21"/>
      <c r="T42" s="20" t="str">
        <f>$AJ$8</f>
        <v>C</v>
      </c>
      <c r="U42" s="20" t="str">
        <f>$AJ$8</f>
        <v>C</v>
      </c>
      <c r="V42" s="20" t="str">
        <f>$AJ$8</f>
        <v>C</v>
      </c>
      <c r="W42" s="20" t="str">
        <f>$AJ$8</f>
        <v>C</v>
      </c>
      <c r="X42" s="20" t="str">
        <f>$AJ$8</f>
        <v>C</v>
      </c>
      <c r="Y42" s="21"/>
      <c r="Z42" s="21"/>
      <c r="AA42" s="20" t="str">
        <f>$AJ$7</f>
        <v>B</v>
      </c>
      <c r="AB42" s="20" t="str">
        <f>$AJ$7</f>
        <v>B</v>
      </c>
      <c r="AC42" s="20" t="str">
        <f>$AJ$7</f>
        <v>B</v>
      </c>
      <c r="AD42" s="20" t="str">
        <f>$AJ$7</f>
        <v>B</v>
      </c>
      <c r="AE42" s="20" t="str">
        <f>$AJ$7</f>
        <v>B</v>
      </c>
      <c r="AF42" s="21"/>
      <c r="AG42" s="21"/>
      <c r="AH42" s="20" t="str">
        <f>$AJ$6</f>
        <v>A</v>
      </c>
      <c r="AI42" s="21"/>
      <c r="AJ42" s="32"/>
      <c r="AL42" s="37">
        <v>36</v>
      </c>
      <c r="AM42" s="1" t="str">
        <f ca="1">TEXT(EDATE(TODAY(),AL42),"e")</f>
        <v>2028</v>
      </c>
      <c r="AN42" s="2" t="str">
        <f ca="1">TEXT(EDATE(TODAY(),AL42),"MMMM")</f>
        <v>November</v>
      </c>
      <c r="AQ42"/>
      <c r="AR42"/>
      <c r="AS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x14ac:dyDescent="0.2">
      <c r="A43" s="27" t="str">
        <f ca="1">OFFSET(AM$6,INT((ROW()-3)/3)-1,0)</f>
        <v>2026</v>
      </c>
      <c r="B43" s="19" t="str">
        <f ca="1">OFFSET(AN$6,INT((ROW()-3)/3)-1,0)</f>
        <v>November</v>
      </c>
      <c r="C43" s="22">
        <f t="shared" ref="C43" si="57">TIME(14,0,0)</f>
        <v>0.58333333333333337</v>
      </c>
      <c r="D43" s="18">
        <f t="shared" ref="D43" si="58">TIME(22,0,0)</f>
        <v>0.91666666666666663</v>
      </c>
      <c r="E43" s="21"/>
      <c r="F43" s="20" t="str">
        <f>$AJ$6</f>
        <v>A</v>
      </c>
      <c r="G43" s="20" t="str">
        <f>$AJ$6</f>
        <v>A</v>
      </c>
      <c r="H43" s="20" t="str">
        <f>$AJ$6</f>
        <v>A</v>
      </c>
      <c r="I43" s="20" t="str">
        <f>$AJ$6</f>
        <v>A</v>
      </c>
      <c r="J43" s="20" t="str">
        <f>$AJ$6</f>
        <v>A</v>
      </c>
      <c r="K43" s="21"/>
      <c r="L43" s="21"/>
      <c r="M43" s="20" t="str">
        <f>$AJ$8</f>
        <v>C</v>
      </c>
      <c r="N43" s="20" t="str">
        <f>$AJ$8</f>
        <v>C</v>
      </c>
      <c r="O43" s="20" t="str">
        <f>$AJ$8</f>
        <v>C</v>
      </c>
      <c r="P43" s="20" t="str">
        <f>$AJ$8</f>
        <v>C</v>
      </c>
      <c r="Q43" s="20" t="str">
        <f>$AJ$8</f>
        <v>C</v>
      </c>
      <c r="R43" s="21"/>
      <c r="S43" s="21"/>
      <c r="T43" s="20" t="str">
        <f>$AJ$7</f>
        <v>B</v>
      </c>
      <c r="U43" s="20" t="str">
        <f>$AJ$7</f>
        <v>B</v>
      </c>
      <c r="V43" s="20" t="str">
        <f>$AJ$7</f>
        <v>B</v>
      </c>
      <c r="W43" s="20" t="str">
        <f>$AJ$7</f>
        <v>B</v>
      </c>
      <c r="X43" s="20" t="str">
        <f>$AJ$7</f>
        <v>B</v>
      </c>
      <c r="Y43" s="21"/>
      <c r="Z43" s="21"/>
      <c r="AA43" s="20" t="str">
        <f>$AJ$6</f>
        <v>A</v>
      </c>
      <c r="AB43" s="20" t="str">
        <f>$AJ$6</f>
        <v>A</v>
      </c>
      <c r="AC43" s="20" t="str">
        <f>$AJ$6</f>
        <v>A</v>
      </c>
      <c r="AD43" s="20" t="str">
        <f>$AJ$6</f>
        <v>A</v>
      </c>
      <c r="AE43" s="20" t="str">
        <f>$AJ$6</f>
        <v>A</v>
      </c>
      <c r="AF43" s="21"/>
      <c r="AG43" s="21"/>
      <c r="AH43" s="20" t="str">
        <f>$AJ$8</f>
        <v>C</v>
      </c>
      <c r="AI43" s="21"/>
      <c r="AJ43" s="32"/>
      <c r="AL43" s="37">
        <v>37</v>
      </c>
      <c r="AM43" s="1" t="str">
        <f ca="1">TEXT(EDATE(TODAY(),AL43),"e")</f>
        <v>2028</v>
      </c>
      <c r="AN43" s="2" t="str">
        <f ca="1">TEXT(EDATE(TODAY(),AL43),"MMMM")</f>
        <v>December</v>
      </c>
      <c r="AQ43"/>
      <c r="AR43"/>
      <c r="AS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</row>
    <row r="44" spans="1:77" x14ac:dyDescent="0.2">
      <c r="A44" s="27" t="str">
        <f ca="1">OFFSET(AM$6,INT((ROW()-3)/3)-1,0)</f>
        <v>2026</v>
      </c>
      <c r="B44" s="19" t="str">
        <f ca="1">OFFSET(AN$6,INT((ROW()-3)/3)-1,0)</f>
        <v>November</v>
      </c>
      <c r="C44" s="22">
        <f>TIME(22,0,0)</f>
        <v>0.91666666666666663</v>
      </c>
      <c r="D44" s="18">
        <f t="shared" ref="D44" si="59">TIME(6,0,0)</f>
        <v>0.25</v>
      </c>
      <c r="E44" s="21"/>
      <c r="F44" s="20" t="str">
        <f>$AJ$8</f>
        <v>C</v>
      </c>
      <c r="G44" s="20" t="str">
        <f>$AJ$8</f>
        <v>C</v>
      </c>
      <c r="H44" s="20" t="str">
        <f>$AJ$8</f>
        <v>C</v>
      </c>
      <c r="I44" s="20" t="str">
        <f>$AJ$8</f>
        <v>C</v>
      </c>
      <c r="J44" s="20" t="str">
        <f>$AJ$8</f>
        <v>C</v>
      </c>
      <c r="K44" s="21"/>
      <c r="L44" s="21"/>
      <c r="M44" s="20" t="str">
        <f>$AJ$7</f>
        <v>B</v>
      </c>
      <c r="N44" s="20" t="str">
        <f>$AJ$7</f>
        <v>B</v>
      </c>
      <c r="O44" s="20" t="str">
        <f>$AJ$7</f>
        <v>B</v>
      </c>
      <c r="P44" s="20" t="str">
        <f>$AJ$7</f>
        <v>B</v>
      </c>
      <c r="Q44" s="20" t="str">
        <f>$AJ$7</f>
        <v>B</v>
      </c>
      <c r="R44" s="21"/>
      <c r="S44" s="21"/>
      <c r="T44" s="20" t="str">
        <f>$AJ$6</f>
        <v>A</v>
      </c>
      <c r="U44" s="20" t="str">
        <f>$AJ$6</f>
        <v>A</v>
      </c>
      <c r="V44" s="20" t="str">
        <f>$AJ$6</f>
        <v>A</v>
      </c>
      <c r="W44" s="20" t="str">
        <f>$AJ$6</f>
        <v>A</v>
      </c>
      <c r="X44" s="20" t="str">
        <f>$AJ$6</f>
        <v>A</v>
      </c>
      <c r="Y44" s="21"/>
      <c r="Z44" s="21"/>
      <c r="AA44" s="20" t="str">
        <f>$AJ$8</f>
        <v>C</v>
      </c>
      <c r="AB44" s="20" t="str">
        <f>$AJ$8</f>
        <v>C</v>
      </c>
      <c r="AC44" s="20" t="str">
        <f>$AJ$8</f>
        <v>C</v>
      </c>
      <c r="AD44" s="20" t="str">
        <f>$AJ$8</f>
        <v>C</v>
      </c>
      <c r="AE44" s="20" t="str">
        <f>$AJ$8</f>
        <v>C</v>
      </c>
      <c r="AF44" s="21"/>
      <c r="AG44" s="21"/>
      <c r="AH44" s="20" t="str">
        <f>$AJ$7</f>
        <v>B</v>
      </c>
      <c r="AI44" s="21"/>
      <c r="AJ44" s="32"/>
      <c r="AL44" s="37">
        <v>38</v>
      </c>
      <c r="AM44" s="1" t="str">
        <f ca="1">TEXT(EDATE(TODAY(),AL44),"e")</f>
        <v>2029</v>
      </c>
      <c r="AN44" s="2" t="str">
        <f ca="1">TEXT(EDATE(TODAY(),AL44),"MMMM")</f>
        <v>January</v>
      </c>
      <c r="AQ44"/>
      <c r="AR44"/>
      <c r="AS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x14ac:dyDescent="0.2">
      <c r="A45" s="27" t="str">
        <f ca="1">OFFSET(AM$6,INT((ROW()-3)/3)-1,0)</f>
        <v>2026</v>
      </c>
      <c r="B45" s="19" t="str">
        <f ca="1">OFFSET(AN$6,INT((ROW()-3)/3)-1,0)</f>
        <v>December</v>
      </c>
      <c r="C45" s="22">
        <f t="shared" ref="C45" si="60">TIME(6,0,0)</f>
        <v>0.25</v>
      </c>
      <c r="D45" s="18">
        <f t="shared" ref="D45" si="61">TIME(14,0,0)</f>
        <v>0.58333333333333337</v>
      </c>
      <c r="E45" s="20" t="str">
        <f>$AJ$6</f>
        <v>A</v>
      </c>
      <c r="F45" s="20" t="str">
        <f>$AJ$6</f>
        <v>A</v>
      </c>
      <c r="G45" s="20" t="str">
        <f>$AJ$6</f>
        <v>A</v>
      </c>
      <c r="H45" s="20" t="str">
        <f>$AJ$6</f>
        <v>A</v>
      </c>
      <c r="I45" s="21"/>
      <c r="J45" s="21"/>
      <c r="K45" s="20" t="str">
        <f>$AJ$8</f>
        <v>C</v>
      </c>
      <c r="L45" s="20" t="str">
        <f>$AJ$8</f>
        <v>C</v>
      </c>
      <c r="M45" s="20" t="str">
        <f>$AJ$8</f>
        <v>C</v>
      </c>
      <c r="N45" s="20" t="str">
        <f>$AJ$8</f>
        <v>C</v>
      </c>
      <c r="O45" s="20" t="str">
        <f>$AJ$8</f>
        <v>C</v>
      </c>
      <c r="P45" s="21"/>
      <c r="Q45" s="21"/>
      <c r="R45" s="20" t="str">
        <f>$AJ$7</f>
        <v>B</v>
      </c>
      <c r="S45" s="20" t="str">
        <f>$AJ$7</f>
        <v>B</v>
      </c>
      <c r="T45" s="20" t="str">
        <f>$AJ$7</f>
        <v>B</v>
      </c>
      <c r="U45" s="20" t="str">
        <f>$AJ$7</f>
        <v>B</v>
      </c>
      <c r="V45" s="20" t="str">
        <f>$AJ$7</f>
        <v>B</v>
      </c>
      <c r="W45" s="21"/>
      <c r="X45" s="21"/>
      <c r="Y45" s="20" t="str">
        <f>$AJ$6</f>
        <v>A</v>
      </c>
      <c r="Z45" s="20" t="str">
        <f>$AJ$6</f>
        <v>A</v>
      </c>
      <c r="AA45" s="20" t="str">
        <f>$AJ$6</f>
        <v>A</v>
      </c>
      <c r="AB45" s="20" t="str">
        <f>$AJ$6</f>
        <v>A</v>
      </c>
      <c r="AC45" s="20" t="str">
        <f>$AJ$6</f>
        <v>A</v>
      </c>
      <c r="AD45" s="21"/>
      <c r="AE45" s="21"/>
      <c r="AF45" s="20" t="str">
        <f>$AJ$8</f>
        <v>C</v>
      </c>
      <c r="AG45" s="20" t="str">
        <f>$AJ$8</f>
        <v>C</v>
      </c>
      <c r="AH45" s="20" t="str">
        <f>$AJ$8</f>
        <v>C</v>
      </c>
      <c r="AI45" s="20" t="str">
        <f>$AJ$8</f>
        <v>C</v>
      </c>
      <c r="AJ45" s="32"/>
      <c r="AL45" s="37">
        <v>39</v>
      </c>
      <c r="AM45" s="1" t="str">
        <f ca="1">TEXT(EDATE(TODAY(),AL45),"e")</f>
        <v>2029</v>
      </c>
      <c r="AN45" s="2" t="str">
        <f ca="1">TEXT(EDATE(TODAY(),AL45),"MMMM")</f>
        <v>February</v>
      </c>
      <c r="AQ45"/>
      <c r="AR45"/>
      <c r="AS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</row>
    <row r="46" spans="1:77" x14ac:dyDescent="0.2">
      <c r="A46" s="27" t="str">
        <f ca="1">OFFSET(AM$6,INT((ROW()-3)/3)-1,0)</f>
        <v>2026</v>
      </c>
      <c r="B46" s="19" t="str">
        <f ca="1">OFFSET(AN$6,INT((ROW()-3)/3)-1,0)</f>
        <v>December</v>
      </c>
      <c r="C46" s="22">
        <f t="shared" ref="C46" si="62">TIME(14,0,0)</f>
        <v>0.58333333333333337</v>
      </c>
      <c r="D46" s="18">
        <f t="shared" ref="D46" si="63">TIME(22,0,0)</f>
        <v>0.91666666666666663</v>
      </c>
      <c r="E46" s="20" t="str">
        <f>$AJ$8</f>
        <v>C</v>
      </c>
      <c r="F46" s="20" t="str">
        <f>$AJ$8</f>
        <v>C</v>
      </c>
      <c r="G46" s="20" t="str">
        <f>$AJ$8</f>
        <v>C</v>
      </c>
      <c r="H46" s="20" t="str">
        <f>$AJ$8</f>
        <v>C</v>
      </c>
      <c r="I46" s="21"/>
      <c r="J46" s="21"/>
      <c r="K46" s="20" t="str">
        <f>$AJ$7</f>
        <v>B</v>
      </c>
      <c r="L46" s="20" t="str">
        <f>$AJ$7</f>
        <v>B</v>
      </c>
      <c r="M46" s="20" t="str">
        <f>$AJ$7</f>
        <v>B</v>
      </c>
      <c r="N46" s="20" t="str">
        <f>$AJ$7</f>
        <v>B</v>
      </c>
      <c r="O46" s="20" t="str">
        <f>$AJ$7</f>
        <v>B</v>
      </c>
      <c r="P46" s="21"/>
      <c r="Q46" s="21"/>
      <c r="R46" s="20" t="str">
        <f>$AJ$6</f>
        <v>A</v>
      </c>
      <c r="S46" s="20" t="str">
        <f>$AJ$6</f>
        <v>A</v>
      </c>
      <c r="T46" s="20" t="str">
        <f>$AJ$6</f>
        <v>A</v>
      </c>
      <c r="U46" s="20" t="str">
        <f>$AJ$6</f>
        <v>A</v>
      </c>
      <c r="V46" s="20" t="str">
        <f>$AJ$6</f>
        <v>A</v>
      </c>
      <c r="W46" s="21"/>
      <c r="X46" s="21"/>
      <c r="Y46" s="20" t="str">
        <f>$AJ$8</f>
        <v>C</v>
      </c>
      <c r="Z46" s="20" t="str">
        <f>$AJ$8</f>
        <v>C</v>
      </c>
      <c r="AA46" s="20" t="str">
        <f>$AJ$8</f>
        <v>C</v>
      </c>
      <c r="AB46" s="20" t="str">
        <f>$AJ$8</f>
        <v>C</v>
      </c>
      <c r="AC46" s="20" t="str">
        <f>$AJ$8</f>
        <v>C</v>
      </c>
      <c r="AD46" s="21"/>
      <c r="AE46" s="21"/>
      <c r="AF46" s="20" t="str">
        <f>$AJ$7</f>
        <v>B</v>
      </c>
      <c r="AG46" s="20" t="str">
        <f>$AJ$7</f>
        <v>B</v>
      </c>
      <c r="AH46" s="20" t="str">
        <f>$AJ$7</f>
        <v>B</v>
      </c>
      <c r="AI46" s="20" t="str">
        <f>$AJ$7</f>
        <v>B</v>
      </c>
      <c r="AJ46" s="32"/>
      <c r="AL46" s="37">
        <v>40</v>
      </c>
      <c r="AM46" s="1" t="str">
        <f ca="1">TEXT(EDATE(TODAY(),AL46),"e")</f>
        <v>2029</v>
      </c>
      <c r="AN46" s="2" t="str">
        <f ca="1">TEXT(EDATE(TODAY(),AL46),"MMMM")</f>
        <v>March</v>
      </c>
      <c r="AQ46"/>
      <c r="AR46"/>
      <c r="AS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</row>
    <row r="47" spans="1:77" x14ac:dyDescent="0.2">
      <c r="A47" s="27" t="str">
        <f ca="1">OFFSET(AM$6,INT((ROW()-3)/3)-1,0)</f>
        <v>2026</v>
      </c>
      <c r="B47" s="19" t="str">
        <f ca="1">OFFSET(AN$6,INT((ROW()-3)/3)-1,0)</f>
        <v>December</v>
      </c>
      <c r="C47" s="22">
        <f>TIME(22,0,0)</f>
        <v>0.91666666666666663</v>
      </c>
      <c r="D47" s="18">
        <f t="shared" ref="D47" si="64">TIME(6,0,0)</f>
        <v>0.25</v>
      </c>
      <c r="E47" s="20" t="str">
        <f>$AJ$7</f>
        <v>B</v>
      </c>
      <c r="F47" s="20" t="str">
        <f>$AJ$7</f>
        <v>B</v>
      </c>
      <c r="G47" s="20" t="str">
        <f>$AJ$7</f>
        <v>B</v>
      </c>
      <c r="H47" s="20" t="str">
        <f>$AJ$7</f>
        <v>B</v>
      </c>
      <c r="I47" s="21"/>
      <c r="J47" s="21"/>
      <c r="K47" s="20" t="str">
        <f>$AJ$6</f>
        <v>A</v>
      </c>
      <c r="L47" s="20" t="str">
        <f>$AJ$6</f>
        <v>A</v>
      </c>
      <c r="M47" s="20" t="str">
        <f>$AJ$6</f>
        <v>A</v>
      </c>
      <c r="N47" s="20" t="str">
        <f>$AJ$6</f>
        <v>A</v>
      </c>
      <c r="O47" s="20" t="str">
        <f>$AJ$6</f>
        <v>A</v>
      </c>
      <c r="P47" s="21"/>
      <c r="Q47" s="21"/>
      <c r="R47" s="20" t="str">
        <f>$AJ$8</f>
        <v>C</v>
      </c>
      <c r="S47" s="20" t="str">
        <f>$AJ$8</f>
        <v>C</v>
      </c>
      <c r="T47" s="20" t="str">
        <f>$AJ$8</f>
        <v>C</v>
      </c>
      <c r="U47" s="20" t="str">
        <f>$AJ$8</f>
        <v>C</v>
      </c>
      <c r="V47" s="20" t="str">
        <f>$AJ$8</f>
        <v>C</v>
      </c>
      <c r="W47" s="21"/>
      <c r="X47" s="21"/>
      <c r="Y47" s="20" t="str">
        <f>$AJ$7</f>
        <v>B</v>
      </c>
      <c r="Z47" s="20" t="str">
        <f>$AJ$7</f>
        <v>B</v>
      </c>
      <c r="AA47" s="20" t="str">
        <f>$AJ$7</f>
        <v>B</v>
      </c>
      <c r="AB47" s="20" t="str">
        <f>$AJ$7</f>
        <v>B</v>
      </c>
      <c r="AC47" s="20" t="str">
        <f>$AJ$7</f>
        <v>B</v>
      </c>
      <c r="AD47" s="21"/>
      <c r="AE47" s="21"/>
      <c r="AF47" s="20" t="str">
        <f>$AJ$6</f>
        <v>A</v>
      </c>
      <c r="AG47" s="20" t="str">
        <f>$AJ$6</f>
        <v>A</v>
      </c>
      <c r="AH47" s="20" t="str">
        <f>$AJ$6</f>
        <v>A</v>
      </c>
      <c r="AI47" s="20" t="str">
        <f>$AJ$6</f>
        <v>A</v>
      </c>
      <c r="AJ47" s="32"/>
      <c r="AL47" s="37">
        <v>41</v>
      </c>
      <c r="AM47" s="1" t="str">
        <f ca="1">TEXT(EDATE(TODAY(),AL47),"e")</f>
        <v>2029</v>
      </c>
      <c r="AN47" s="2" t="str">
        <f ca="1">TEXT(EDATE(TODAY(),AL47),"MMMM")</f>
        <v>April</v>
      </c>
      <c r="AQ47"/>
      <c r="AR47"/>
      <c r="AS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</row>
    <row r="48" spans="1:77" x14ac:dyDescent="0.2">
      <c r="A48" s="27" t="str">
        <f ca="1">OFFSET(AM$6,INT((ROW()-3)/3)-1,0)</f>
        <v>2027</v>
      </c>
      <c r="B48" s="19" t="str">
        <f ca="1">OFFSET(AN$6,INT((ROW()-3)/3)-1,0)</f>
        <v>January</v>
      </c>
      <c r="C48" s="22">
        <f t="shared" ref="C48" si="65">TIME(6,0,0)</f>
        <v>0.25</v>
      </c>
      <c r="D48" s="18">
        <f t="shared" ref="D48" si="66">TIME(14,0,0)</f>
        <v>0.58333333333333337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32"/>
      <c r="AL48" s="37">
        <v>42</v>
      </c>
      <c r="AM48" s="1" t="str">
        <f ca="1">TEXT(EDATE(TODAY(),AL48),"e")</f>
        <v>2029</v>
      </c>
      <c r="AN48" s="2" t="str">
        <f ca="1">TEXT(EDATE(TODAY(),AL48),"MMMM")</f>
        <v>May</v>
      </c>
      <c r="AQ48"/>
      <c r="AR48"/>
      <c r="AS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</row>
    <row r="49" spans="1:77" x14ac:dyDescent="0.2">
      <c r="A49" s="27" t="str">
        <f ca="1">OFFSET(AM$6,INT((ROW()-3)/3)-1,0)</f>
        <v>2027</v>
      </c>
      <c r="B49" s="19" t="str">
        <f ca="1">OFFSET(AN$6,INT((ROW()-3)/3)-1,0)</f>
        <v>January</v>
      </c>
      <c r="C49" s="22">
        <f t="shared" ref="C49" si="67">TIME(14,0,0)</f>
        <v>0.58333333333333337</v>
      </c>
      <c r="D49" s="18">
        <f t="shared" ref="D49" si="68">TIME(22,0,0)</f>
        <v>0.91666666666666663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32"/>
      <c r="AL49" s="37">
        <v>43</v>
      </c>
      <c r="AM49" s="1" t="str">
        <f ca="1">TEXT(EDATE(TODAY(),AL49),"e")</f>
        <v>2029</v>
      </c>
      <c r="AN49" s="2" t="str">
        <f ca="1">TEXT(EDATE(TODAY(),AL49),"MMMM")</f>
        <v>June</v>
      </c>
      <c r="AQ49"/>
      <c r="AR49"/>
      <c r="AS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</row>
    <row r="50" spans="1:77" x14ac:dyDescent="0.2">
      <c r="A50" s="27" t="str">
        <f ca="1">OFFSET(AM$6,INT((ROW()-3)/3)-1,0)</f>
        <v>2027</v>
      </c>
      <c r="B50" s="19" t="str">
        <f ca="1">OFFSET(AN$6,INT((ROW()-3)/3)-1,0)</f>
        <v>January</v>
      </c>
      <c r="C50" s="22">
        <f>TIME(22,0,0)</f>
        <v>0.91666666666666663</v>
      </c>
      <c r="D50" s="18">
        <f t="shared" ref="D50" si="69">TIME(6,0,0)</f>
        <v>0.25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32"/>
      <c r="AL50" s="37">
        <v>44</v>
      </c>
      <c r="AM50" s="1" t="str">
        <f ca="1">TEXT(EDATE(TODAY(),AL50),"e")</f>
        <v>2029</v>
      </c>
      <c r="AN50" s="2" t="str">
        <f ca="1">TEXT(EDATE(TODAY(),AL50),"MMMM")</f>
        <v>July</v>
      </c>
      <c r="AQ50"/>
      <c r="AR50"/>
      <c r="AS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</row>
    <row r="51" spans="1:77" x14ac:dyDescent="0.2">
      <c r="A51" s="27" t="str">
        <f ca="1">OFFSET(AM$6,INT((ROW()-3)/3)-1,0)</f>
        <v>2027</v>
      </c>
      <c r="B51" s="19" t="str">
        <f ca="1">OFFSET(AN$6,INT((ROW()-3)/3)-1,0)</f>
        <v>February</v>
      </c>
      <c r="C51" s="22">
        <f>TIME(6,0,0)</f>
        <v>0.25</v>
      </c>
      <c r="D51" s="18">
        <f>TIME(14,0,0)</f>
        <v>0.58333333333333337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32"/>
      <c r="AL51" s="37">
        <v>45</v>
      </c>
      <c r="AM51" s="1" t="str">
        <f ca="1">TEXT(EDATE(TODAY(),AL51),"e")</f>
        <v>2029</v>
      </c>
      <c r="AN51" s="2" t="str">
        <f ca="1">TEXT(EDATE(TODAY(),AL51),"MMMM")</f>
        <v>August</v>
      </c>
      <c r="AQ51"/>
      <c r="AR51"/>
      <c r="AS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</row>
    <row r="52" spans="1:77" x14ac:dyDescent="0.2">
      <c r="A52" s="27" t="str">
        <f ca="1">OFFSET(AM$6,INT((ROW()-3)/3)-1,0)</f>
        <v>2027</v>
      </c>
      <c r="B52" s="19" t="str">
        <f ca="1">OFFSET(AN$6,INT((ROW()-3)/3)-1,0)</f>
        <v>February</v>
      </c>
      <c r="C52" s="22">
        <f>TIME(14,0,0)</f>
        <v>0.58333333333333337</v>
      </c>
      <c r="D52" s="18">
        <f>TIME(22,0,0)</f>
        <v>0.91666666666666663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32"/>
      <c r="AL52" s="37">
        <v>46</v>
      </c>
      <c r="AM52" s="1" t="str">
        <f ca="1">TEXT(EDATE(TODAY(),AL52),"e")</f>
        <v>2029</v>
      </c>
      <c r="AN52" s="2" t="str">
        <f ca="1">TEXT(EDATE(TODAY(),AL52),"MMMM")</f>
        <v>September</v>
      </c>
      <c r="AQ52"/>
      <c r="AR52"/>
      <c r="AS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</row>
    <row r="53" spans="1:77" x14ac:dyDescent="0.2">
      <c r="A53" s="27" t="str">
        <f ca="1">OFFSET(AM$6,INT((ROW()-3)/3)-1,0)</f>
        <v>2027</v>
      </c>
      <c r="B53" s="19" t="str">
        <f ca="1">OFFSET(AN$6,INT((ROW()-3)/3)-1,0)</f>
        <v>February</v>
      </c>
      <c r="C53" s="22">
        <f>TIME(22,0,0)</f>
        <v>0.91666666666666663</v>
      </c>
      <c r="D53" s="18">
        <f>TIME(6,0,0)</f>
        <v>0.25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32"/>
      <c r="AL53" s="37">
        <v>47</v>
      </c>
      <c r="AM53" s="1" t="str">
        <f ca="1">TEXT(EDATE(TODAY(),AL53),"e")</f>
        <v>2029</v>
      </c>
      <c r="AN53" s="2" t="str">
        <f ca="1">TEXT(EDATE(TODAY(),AL53),"MMMM")</f>
        <v>October</v>
      </c>
      <c r="AQ53"/>
      <c r="AR53"/>
      <c r="AS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</row>
    <row r="54" spans="1:77" x14ac:dyDescent="0.2">
      <c r="A54" s="27" t="str">
        <f ca="1">OFFSET(AM$6,INT((ROW()-3)/3)-1,0)</f>
        <v>2027</v>
      </c>
      <c r="B54" s="19" t="str">
        <f ca="1">OFFSET(AN$6,INT((ROW()-3)/3)-1,0)</f>
        <v>March</v>
      </c>
      <c r="C54" s="22">
        <f t="shared" ref="C54" si="70">TIME(6,0,0)</f>
        <v>0.25</v>
      </c>
      <c r="D54" s="18">
        <f t="shared" ref="D54" si="71">TIME(14,0,0)</f>
        <v>0.58333333333333337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32"/>
      <c r="AL54" s="37">
        <v>48</v>
      </c>
      <c r="AM54" s="1" t="str">
        <f ca="1">TEXT(EDATE(TODAY(),AL54),"e")</f>
        <v>2029</v>
      </c>
      <c r="AN54" s="2" t="str">
        <f ca="1">TEXT(EDATE(TODAY(),AL54),"MMMM")</f>
        <v>November</v>
      </c>
      <c r="AQ54"/>
      <c r="AR54"/>
      <c r="AS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</row>
    <row r="55" spans="1:77" x14ac:dyDescent="0.2">
      <c r="A55" s="27" t="str">
        <f ca="1">OFFSET(AM$6,INT((ROW()-3)/3)-1,0)</f>
        <v>2027</v>
      </c>
      <c r="B55" s="19" t="str">
        <f ca="1">OFFSET(AN$6,INT((ROW()-3)/3)-1,0)</f>
        <v>March</v>
      </c>
      <c r="C55" s="22">
        <f t="shared" ref="C55" si="72">TIME(14,0,0)</f>
        <v>0.58333333333333337</v>
      </c>
      <c r="D55" s="18">
        <f t="shared" ref="D55" si="73">TIME(22,0,0)</f>
        <v>0.91666666666666663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32"/>
      <c r="AL55" s="37">
        <v>49</v>
      </c>
      <c r="AM55" s="1" t="str">
        <f ca="1">TEXT(EDATE(TODAY(),AL55),"e")</f>
        <v>2029</v>
      </c>
      <c r="AN55" s="2" t="str">
        <f ca="1">TEXT(EDATE(TODAY(),AL55),"MMMM")</f>
        <v>December</v>
      </c>
      <c r="AQ55"/>
      <c r="AR55"/>
      <c r="AS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</row>
    <row r="56" spans="1:77" x14ac:dyDescent="0.2">
      <c r="A56" s="27" t="str">
        <f ca="1">OFFSET(AM$6,INT((ROW()-3)/3)-1,0)</f>
        <v>2027</v>
      </c>
      <c r="B56" s="19" t="str">
        <f ca="1">OFFSET(AN$6,INT((ROW()-3)/3)-1,0)</f>
        <v>March</v>
      </c>
      <c r="C56" s="22">
        <f>TIME(22,0,0)</f>
        <v>0.91666666666666663</v>
      </c>
      <c r="D56" s="18">
        <f t="shared" ref="D56" si="74">TIME(6,0,0)</f>
        <v>0.25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32"/>
      <c r="AL56" s="37">
        <v>50</v>
      </c>
      <c r="AM56" s="1" t="str">
        <f ca="1">TEXT(EDATE(TODAY(),AL56),"e")</f>
        <v>2030</v>
      </c>
      <c r="AN56" s="2" t="str">
        <f ca="1">TEXT(EDATE(TODAY(),AL56),"MMMM")</f>
        <v>January</v>
      </c>
      <c r="AQ56"/>
      <c r="AR56"/>
      <c r="AS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</row>
    <row r="57" spans="1:77" x14ac:dyDescent="0.2">
      <c r="A57" s="27" t="str">
        <f ca="1">OFFSET(AM$6,INT((ROW()-3)/3)-1,0)</f>
        <v>2027</v>
      </c>
      <c r="B57" s="19" t="str">
        <f ca="1">OFFSET(AN$6,INT((ROW()-3)/3)-1,0)</f>
        <v>April</v>
      </c>
      <c r="C57" s="22">
        <f t="shared" ref="C57" si="75">TIME(6,0,0)</f>
        <v>0.25</v>
      </c>
      <c r="D57" s="18">
        <f t="shared" ref="D57" si="76">TIME(14,0,0)</f>
        <v>0.58333333333333337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32"/>
      <c r="AL57" s="37">
        <v>51</v>
      </c>
      <c r="AM57" s="1" t="str">
        <f ca="1">TEXT(EDATE(TODAY(),AL57),"e")</f>
        <v>2030</v>
      </c>
      <c r="AN57" s="2" t="str">
        <f ca="1">TEXT(EDATE(TODAY(),AL57),"MMMM")</f>
        <v>February</v>
      </c>
      <c r="AQ57"/>
      <c r="AR57"/>
      <c r="AS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</row>
    <row r="58" spans="1:77" x14ac:dyDescent="0.2">
      <c r="A58" s="27" t="str">
        <f ca="1">OFFSET(AM$6,INT((ROW()-3)/3)-1,0)</f>
        <v>2027</v>
      </c>
      <c r="B58" s="19" t="str">
        <f ca="1">OFFSET(AN$6,INT((ROW()-3)/3)-1,0)</f>
        <v>April</v>
      </c>
      <c r="C58" s="22">
        <f t="shared" ref="C58" si="77">TIME(14,0,0)</f>
        <v>0.58333333333333337</v>
      </c>
      <c r="D58" s="18">
        <f t="shared" ref="D58" si="78">TIME(22,0,0)</f>
        <v>0.91666666666666663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32"/>
      <c r="AL58" s="37">
        <v>52</v>
      </c>
      <c r="AM58" s="1" t="str">
        <f ca="1">TEXT(EDATE(TODAY(),AL58),"e")</f>
        <v>2030</v>
      </c>
      <c r="AN58" s="2" t="str">
        <f ca="1">TEXT(EDATE(TODAY(),AL58),"MMMM")</f>
        <v>March</v>
      </c>
      <c r="AQ58"/>
    </row>
    <row r="59" spans="1:77" x14ac:dyDescent="0.2">
      <c r="A59" s="27" t="str">
        <f ca="1">OFFSET(AM$6,INT((ROW()-3)/3)-1,0)</f>
        <v>2027</v>
      </c>
      <c r="B59" s="19" t="str">
        <f ca="1">OFFSET(AN$6,INT((ROW()-3)/3)-1,0)</f>
        <v>April</v>
      </c>
      <c r="C59" s="22">
        <f>TIME(22,0,0)</f>
        <v>0.91666666666666663</v>
      </c>
      <c r="D59" s="18">
        <f t="shared" ref="D59" si="79">TIME(6,0,0)</f>
        <v>0.25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32"/>
      <c r="AL59" s="37">
        <v>53</v>
      </c>
      <c r="AM59" s="1" t="str">
        <f ca="1">TEXT(EDATE(TODAY(),AL59),"e")</f>
        <v>2030</v>
      </c>
      <c r="AN59" s="2" t="str">
        <f ca="1">TEXT(EDATE(TODAY(),AL59),"MMMM")</f>
        <v>April</v>
      </c>
      <c r="AQ59"/>
    </row>
    <row r="60" spans="1:77" x14ac:dyDescent="0.2">
      <c r="A60" s="27" t="str">
        <f ca="1">OFFSET(AM$6,INT((ROW()-3)/3)-1,0)</f>
        <v>2027</v>
      </c>
      <c r="B60" s="19" t="str">
        <f ca="1">OFFSET(AN$6,INT((ROW()-3)/3)-1,0)</f>
        <v>May</v>
      </c>
      <c r="C60" s="22">
        <f t="shared" ref="C60" si="80">TIME(6,0,0)</f>
        <v>0.25</v>
      </c>
      <c r="D60" s="18">
        <f t="shared" ref="D60" si="81">TIME(14,0,0)</f>
        <v>0.58333333333333337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32"/>
      <c r="AL60" s="37">
        <v>54</v>
      </c>
      <c r="AM60" s="1" t="str">
        <f ca="1">TEXT(EDATE(TODAY(),AL60),"e")</f>
        <v>2030</v>
      </c>
      <c r="AN60" s="2" t="str">
        <f ca="1">TEXT(EDATE(TODAY(),AL60),"MMMM")</f>
        <v>May</v>
      </c>
      <c r="AQ60"/>
    </row>
    <row r="61" spans="1:77" x14ac:dyDescent="0.2">
      <c r="A61" s="27" t="str">
        <f ca="1">OFFSET(AM$6,INT((ROW()-3)/3)-1,0)</f>
        <v>2027</v>
      </c>
      <c r="B61" s="19" t="str">
        <f ca="1">OFFSET(AN$6,INT((ROW()-3)/3)-1,0)</f>
        <v>May</v>
      </c>
      <c r="C61" s="22">
        <f t="shared" ref="C61" si="82">TIME(14,0,0)</f>
        <v>0.58333333333333337</v>
      </c>
      <c r="D61" s="18">
        <f t="shared" ref="D61" si="83">TIME(22,0,0)</f>
        <v>0.91666666666666663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32"/>
      <c r="AL61" s="37">
        <v>55</v>
      </c>
      <c r="AM61" s="1" t="str">
        <f ca="1">TEXT(EDATE(TODAY(),AL61),"e")</f>
        <v>2030</v>
      </c>
      <c r="AN61" s="2" t="str">
        <f ca="1">TEXT(EDATE(TODAY(),AL61),"MMMM")</f>
        <v>June</v>
      </c>
      <c r="AQ61"/>
    </row>
    <row r="62" spans="1:77" x14ac:dyDescent="0.2">
      <c r="A62" s="27" t="str">
        <f ca="1">OFFSET(AM$6,INT((ROW()-3)/3)-1,0)</f>
        <v>2027</v>
      </c>
      <c r="B62" s="19" t="str">
        <f ca="1">OFFSET(AN$6,INT((ROW()-3)/3)-1,0)</f>
        <v>May</v>
      </c>
      <c r="C62" s="22">
        <f>TIME(22,0,0)</f>
        <v>0.91666666666666663</v>
      </c>
      <c r="D62" s="18">
        <f t="shared" ref="D62" si="84">TIME(6,0,0)</f>
        <v>0.25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32"/>
      <c r="AL62" s="37">
        <v>56</v>
      </c>
      <c r="AM62" s="1" t="str">
        <f ca="1">TEXT(EDATE(TODAY(),AL62),"e")</f>
        <v>2030</v>
      </c>
      <c r="AN62" s="2" t="str">
        <f ca="1">TEXT(EDATE(TODAY(),AL62),"MMMM")</f>
        <v>July</v>
      </c>
      <c r="AQ62"/>
    </row>
    <row r="63" spans="1:77" x14ac:dyDescent="0.2">
      <c r="A63" s="27" t="str">
        <f ca="1">OFFSET(AM$6,INT((ROW()-3)/3)-1,0)</f>
        <v>2027</v>
      </c>
      <c r="B63" s="19" t="str">
        <f ca="1">OFFSET(AN$6,INT((ROW()-3)/3)-1,0)</f>
        <v>June</v>
      </c>
      <c r="C63" s="22">
        <f t="shared" ref="C63" si="85">TIME(6,0,0)</f>
        <v>0.25</v>
      </c>
      <c r="D63" s="18">
        <f t="shared" ref="D63" si="86">TIME(14,0,0)</f>
        <v>0.58333333333333337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32"/>
      <c r="AL63" s="37">
        <v>57</v>
      </c>
      <c r="AM63" s="1" t="str">
        <f ca="1">TEXT(EDATE(TODAY(),AL63),"e")</f>
        <v>2030</v>
      </c>
      <c r="AN63" s="2" t="str">
        <f ca="1">TEXT(EDATE(TODAY(),AL63),"MMMM")</f>
        <v>August</v>
      </c>
      <c r="AQ63"/>
    </row>
    <row r="64" spans="1:77" x14ac:dyDescent="0.2">
      <c r="A64" s="27" t="str">
        <f ca="1">OFFSET(AM$6,INT((ROW()-3)/3)-1,0)</f>
        <v>2027</v>
      </c>
      <c r="B64" s="19" t="str">
        <f ca="1">OFFSET(AN$6,INT((ROW()-3)/3)-1,0)</f>
        <v>June</v>
      </c>
      <c r="C64" s="22">
        <f t="shared" ref="C64" si="87">TIME(14,0,0)</f>
        <v>0.58333333333333337</v>
      </c>
      <c r="D64" s="18">
        <f t="shared" ref="D64" si="88">TIME(22,0,0)</f>
        <v>0.91666666666666663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32"/>
      <c r="AL64" s="37">
        <v>58</v>
      </c>
      <c r="AM64" s="1" t="str">
        <f ca="1">TEXT(EDATE(TODAY(),AL64),"e")</f>
        <v>2030</v>
      </c>
      <c r="AN64" s="2" t="str">
        <f ca="1">TEXT(EDATE(TODAY(),AL64),"MMMM")</f>
        <v>September</v>
      </c>
      <c r="AQ64"/>
    </row>
    <row r="65" spans="1:43" x14ac:dyDescent="0.2">
      <c r="A65" s="27" t="str">
        <f ca="1">OFFSET(AM$6,INT((ROW()-3)/3)-1,0)</f>
        <v>2027</v>
      </c>
      <c r="B65" s="19" t="str">
        <f ca="1">OFFSET(AN$6,INT((ROW()-3)/3)-1,0)</f>
        <v>June</v>
      </c>
      <c r="C65" s="22">
        <f>TIME(22,0,0)</f>
        <v>0.91666666666666663</v>
      </c>
      <c r="D65" s="18">
        <f t="shared" ref="D65" si="89">TIME(6,0,0)</f>
        <v>0.25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32"/>
      <c r="AL65" s="37">
        <v>59</v>
      </c>
      <c r="AM65" s="1" t="str">
        <f ca="1">TEXT(EDATE(TODAY(),AL65),"e")</f>
        <v>2030</v>
      </c>
      <c r="AN65" s="2" t="str">
        <f ca="1">TEXT(EDATE(TODAY(),AL65),"MMMM")</f>
        <v>October</v>
      </c>
      <c r="AQ65"/>
    </row>
    <row r="66" spans="1:43" x14ac:dyDescent="0.2">
      <c r="A66" s="27" t="str">
        <f ca="1">OFFSET(AM$6,INT((ROW()-3)/3)-1,0)</f>
        <v>2027</v>
      </c>
      <c r="B66" s="19" t="str">
        <f ca="1">OFFSET(AN$6,INT((ROW()-3)/3)-1,0)</f>
        <v>July</v>
      </c>
      <c r="C66" s="22">
        <f t="shared" ref="C66" si="90">TIME(6,0,0)</f>
        <v>0.25</v>
      </c>
      <c r="D66" s="18">
        <f t="shared" ref="D66" si="91">TIME(14,0,0)</f>
        <v>0.58333333333333337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32"/>
      <c r="AL66" s="37">
        <v>60</v>
      </c>
      <c r="AM66" s="1" t="str">
        <f ca="1">TEXT(EDATE(TODAY(),AL66),"e")</f>
        <v>2030</v>
      </c>
      <c r="AN66" s="2" t="str">
        <f ca="1">TEXT(EDATE(TODAY(),AL66),"MMMM")</f>
        <v>November</v>
      </c>
      <c r="AQ66"/>
    </row>
    <row r="67" spans="1:43" x14ac:dyDescent="0.2">
      <c r="A67" s="27" t="str">
        <f ca="1">OFFSET(AM$6,INT((ROW()-3)/3)-1,0)</f>
        <v>2027</v>
      </c>
      <c r="B67" s="19" t="str">
        <f ca="1">OFFSET(AN$6,INT((ROW()-3)/3)-1,0)</f>
        <v>July</v>
      </c>
      <c r="C67" s="22">
        <f t="shared" ref="C67" si="92">TIME(14,0,0)</f>
        <v>0.58333333333333337</v>
      </c>
      <c r="D67" s="18">
        <f t="shared" ref="D67" si="93">TIME(22,0,0)</f>
        <v>0.91666666666666663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32"/>
      <c r="AL67" s="37">
        <v>61</v>
      </c>
      <c r="AM67" s="1" t="str">
        <f ca="1">TEXT(EDATE(TODAY(),AL67),"e")</f>
        <v>2030</v>
      </c>
      <c r="AN67" s="2" t="str">
        <f ca="1">TEXT(EDATE(TODAY(),AL67),"MMMM")</f>
        <v>December</v>
      </c>
      <c r="AQ67"/>
    </row>
    <row r="68" spans="1:43" x14ac:dyDescent="0.2">
      <c r="A68" s="27" t="str">
        <f ca="1">OFFSET(AM$6,INT((ROW()-3)/3)-1,0)</f>
        <v>2027</v>
      </c>
      <c r="B68" s="19" t="str">
        <f ca="1">OFFSET(AN$6,INT((ROW()-3)/3)-1,0)</f>
        <v>July</v>
      </c>
      <c r="C68" s="22">
        <f>TIME(22,0,0)</f>
        <v>0.91666666666666663</v>
      </c>
      <c r="D68" s="18">
        <f t="shared" ref="D68" si="94">TIME(6,0,0)</f>
        <v>0.25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32"/>
      <c r="AL68" s="37">
        <v>62</v>
      </c>
      <c r="AM68" s="1" t="str">
        <f ca="1">TEXT(EDATE(TODAY(),AL68),"e")</f>
        <v>2031</v>
      </c>
      <c r="AN68" s="2" t="str">
        <f ca="1">TEXT(EDATE(TODAY(),AL68),"MMMM")</f>
        <v>January</v>
      </c>
      <c r="AQ68"/>
    </row>
    <row r="69" spans="1:43" x14ac:dyDescent="0.2">
      <c r="A69" s="27" t="str">
        <f ca="1">OFFSET(AM$6,INT((ROW()-3)/3)-1,0)</f>
        <v>2027</v>
      </c>
      <c r="B69" s="19" t="str">
        <f ca="1">OFFSET(AN$6,INT((ROW()-3)/3)-1,0)</f>
        <v>August</v>
      </c>
      <c r="C69" s="22">
        <f t="shared" ref="C69" si="95">TIME(6,0,0)</f>
        <v>0.25</v>
      </c>
      <c r="D69" s="18">
        <f t="shared" ref="D69" si="96">TIME(14,0,0)</f>
        <v>0.58333333333333337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32"/>
      <c r="AL69" s="37">
        <v>63</v>
      </c>
      <c r="AM69" s="1" t="str">
        <f ca="1">TEXT(EDATE(TODAY(),AL69),"e")</f>
        <v>2031</v>
      </c>
      <c r="AN69" s="2" t="str">
        <f ca="1">TEXT(EDATE(TODAY(),AL69),"MMMM")</f>
        <v>February</v>
      </c>
      <c r="AQ69"/>
    </row>
    <row r="70" spans="1:43" x14ac:dyDescent="0.2">
      <c r="A70" s="27" t="str">
        <f ca="1">OFFSET(AM$6,INT((ROW()-3)/3)-1,0)</f>
        <v>2027</v>
      </c>
      <c r="B70" s="19" t="str">
        <f ca="1">OFFSET(AN$6,INT((ROW()-3)/3)-1,0)</f>
        <v>August</v>
      </c>
      <c r="C70" s="22">
        <f>TIME(6,0,0)</f>
        <v>0.25</v>
      </c>
      <c r="D70" s="18">
        <f>TIME(14,0,0)</f>
        <v>0.58333333333333337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32"/>
      <c r="AL70" s="37">
        <v>64</v>
      </c>
      <c r="AM70" s="1" t="str">
        <f ca="1">TEXT(EDATE(TODAY(),AL70),"e")</f>
        <v>2031</v>
      </c>
      <c r="AN70" s="2" t="str">
        <f ca="1">TEXT(EDATE(TODAY(),AL70),"MMMM")</f>
        <v>March</v>
      </c>
      <c r="AQ70"/>
    </row>
    <row r="71" spans="1:43" x14ac:dyDescent="0.2">
      <c r="A71" s="27" t="str">
        <f ca="1">OFFSET(AM$6,INT((ROW()-3)/3)-1,0)</f>
        <v>2027</v>
      </c>
      <c r="B71" s="19" t="str">
        <f ca="1">OFFSET(AN$6,INT((ROW()-3)/3)-1,0)</f>
        <v>August</v>
      </c>
      <c r="C71" s="22">
        <f>TIME(14,0,0)</f>
        <v>0.58333333333333337</v>
      </c>
      <c r="D71" s="18">
        <f>TIME(22,0,0)</f>
        <v>0.91666666666666663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32"/>
      <c r="AL71" s="37">
        <v>65</v>
      </c>
      <c r="AM71" s="1" t="str">
        <f ca="1">TEXT(EDATE(TODAY(),AL71),"e")</f>
        <v>2031</v>
      </c>
      <c r="AN71" s="2" t="str">
        <f ca="1">TEXT(EDATE(TODAY(),AL71),"MMMM")</f>
        <v>April</v>
      </c>
      <c r="AQ71"/>
    </row>
    <row r="72" spans="1:43" x14ac:dyDescent="0.2">
      <c r="A72" s="27" t="str">
        <f ca="1">OFFSET(AM$6,INT((ROW()-3)/3)-1,0)</f>
        <v>2027</v>
      </c>
      <c r="B72" s="19" t="str">
        <f ca="1">OFFSET(AN$6,INT((ROW()-3)/3)-1,0)</f>
        <v>September</v>
      </c>
      <c r="C72" s="22">
        <f>TIME(10,0,0)</f>
        <v>0.41666666666666669</v>
      </c>
      <c r="D72" s="18">
        <f>TIME(6,0,0)</f>
        <v>0.25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32"/>
      <c r="AL72" s="37">
        <v>66</v>
      </c>
      <c r="AM72" s="1" t="str">
        <f ca="1">TEXT(EDATE(TODAY(),AL72),"e")</f>
        <v>2031</v>
      </c>
      <c r="AN72" s="2" t="str">
        <f ca="1">TEXT(EDATE(TODAY(),AL72),"MMMM")</f>
        <v>May</v>
      </c>
      <c r="AQ72"/>
    </row>
    <row r="73" spans="1:43" x14ac:dyDescent="0.2">
      <c r="A73" s="27" t="str">
        <f ca="1">OFFSET(AM$6,INT((ROW()-3)/3)-1,0)</f>
        <v>2027</v>
      </c>
      <c r="B73" s="19" t="str">
        <f ca="1">OFFSET(AN$6,INT((ROW()-3)/3)-1,0)</f>
        <v>September</v>
      </c>
      <c r="C73" s="22">
        <f t="shared" ref="C73" si="97">TIME(6,0,0)</f>
        <v>0.25</v>
      </c>
      <c r="D73" s="18">
        <f t="shared" ref="D73" si="98">TIME(14,0,0)</f>
        <v>0.58333333333333337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32"/>
      <c r="AL73" s="37">
        <v>67</v>
      </c>
      <c r="AM73" s="1" t="str">
        <f ca="1">TEXT(EDATE(TODAY(),AL73),"e")</f>
        <v>2031</v>
      </c>
      <c r="AN73" s="2" t="str">
        <f ca="1">TEXT(EDATE(TODAY(),AL73),"MMMM")</f>
        <v>June</v>
      </c>
      <c r="AQ73"/>
    </row>
    <row r="74" spans="1:43" x14ac:dyDescent="0.2">
      <c r="A74" s="27" t="str">
        <f ca="1">OFFSET(AM$6,INT((ROW()-3)/3)-1,0)</f>
        <v>2027</v>
      </c>
      <c r="B74" s="19" t="str">
        <f ca="1">OFFSET(AN$6,INT((ROW()-3)/3)-1,0)</f>
        <v>September</v>
      </c>
      <c r="C74" s="22">
        <f t="shared" ref="C74" si="99">TIME(14,0,0)</f>
        <v>0.58333333333333337</v>
      </c>
      <c r="D74" s="18">
        <f t="shared" ref="D74" si="100">TIME(22,0,0)</f>
        <v>0.91666666666666663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32"/>
      <c r="AL74" s="37">
        <v>68</v>
      </c>
      <c r="AM74" s="1" t="str">
        <f ca="1">TEXT(EDATE(TODAY(),AL74),"e")</f>
        <v>2031</v>
      </c>
      <c r="AN74" s="2" t="str">
        <f ca="1">TEXT(EDATE(TODAY(),AL74),"MMMM")</f>
        <v>July</v>
      </c>
      <c r="AQ74"/>
    </row>
    <row r="75" spans="1:43" x14ac:dyDescent="0.2">
      <c r="A75" s="27" t="str">
        <f ca="1">OFFSET(AM$6,INT((ROW()-3)/3)-1,0)</f>
        <v>2027</v>
      </c>
      <c r="B75" s="19" t="str">
        <f ca="1">OFFSET(AN$6,INT((ROW()-3)/3)-1,0)</f>
        <v>October</v>
      </c>
      <c r="C75" s="22">
        <f t="shared" ref="C75" si="101">TIME(10,0,0)</f>
        <v>0.41666666666666669</v>
      </c>
      <c r="D75" s="18" t="e" cm="1">
        <f t="array" ref="D75">P6q</f>
        <v>#NAME?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32"/>
      <c r="AL75" s="37">
        <v>69</v>
      </c>
      <c r="AM75" s="1" t="str">
        <f ca="1">TEXT(EDATE(TODAY(),AL75),"e")</f>
        <v>2031</v>
      </c>
      <c r="AN75" s="2" t="str">
        <f ca="1">TEXT(EDATE(TODAY(),AL75),"MMMM")</f>
        <v>August</v>
      </c>
      <c r="AQ75"/>
    </row>
    <row r="76" spans="1:43" x14ac:dyDescent="0.2">
      <c r="A76" s="27" t="str">
        <f ca="1">OFFSET(AM$6,INT((ROW()-3)/3)-1,0)</f>
        <v>2027</v>
      </c>
      <c r="B76" s="19" t="str">
        <f ca="1">OFFSET(AN$6,INT((ROW()-3)/3)-1,0)</f>
        <v>October</v>
      </c>
      <c r="C76" s="22">
        <f t="shared" ref="C76" si="102">TIME(6,0,0)</f>
        <v>0.25</v>
      </c>
      <c r="D76" s="18">
        <f t="shared" ref="D76" si="103">TIME(14,0,0)</f>
        <v>0.58333333333333337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32"/>
      <c r="AL76" s="37">
        <v>70</v>
      </c>
      <c r="AM76" s="1" t="str">
        <f ca="1">TEXT(EDATE(TODAY(),AL76),"e")</f>
        <v>2031</v>
      </c>
      <c r="AN76" s="2" t="str">
        <f ca="1">TEXT(EDATE(TODAY(),AL76),"MMMM")</f>
        <v>September</v>
      </c>
      <c r="AQ76"/>
    </row>
    <row r="77" spans="1:43" x14ac:dyDescent="0.2">
      <c r="AL77"/>
      <c r="AQ77"/>
    </row>
    <row r="78" spans="1:43" x14ac:dyDescent="0.2">
      <c r="AQ78"/>
    </row>
    <row r="79" spans="1:43" x14ac:dyDescent="0.2">
      <c r="AQ79"/>
    </row>
    <row r="80" spans="1:43" x14ac:dyDescent="0.2">
      <c r="AQ80"/>
    </row>
    <row r="81" spans="43:43" x14ac:dyDescent="0.2">
      <c r="AQ81"/>
    </row>
    <row r="82" spans="43:43" x14ac:dyDescent="0.2">
      <c r="AQ82"/>
    </row>
    <row r="83" spans="43:43" x14ac:dyDescent="0.2">
      <c r="AQ83"/>
    </row>
    <row r="84" spans="43:43" x14ac:dyDescent="0.2">
      <c r="AQ84"/>
    </row>
    <row r="85" spans="43:43" x14ac:dyDescent="0.2">
      <c r="AQ85"/>
    </row>
    <row r="86" spans="43:43" x14ac:dyDescent="0.2">
      <c r="AQ86"/>
    </row>
    <row r="87" spans="43:43" x14ac:dyDescent="0.2">
      <c r="AQ87"/>
    </row>
    <row r="88" spans="43:43" x14ac:dyDescent="0.2">
      <c r="AQ88"/>
    </row>
    <row r="89" spans="43:43" x14ac:dyDescent="0.2">
      <c r="AQ89"/>
    </row>
    <row r="90" spans="43:43" x14ac:dyDescent="0.2">
      <c r="AQ90"/>
    </row>
    <row r="91" spans="43:43" x14ac:dyDescent="0.2">
      <c r="AQ91"/>
    </row>
    <row r="92" spans="43:43" x14ac:dyDescent="0.2">
      <c r="AQ92"/>
    </row>
    <row r="93" spans="43:43" x14ac:dyDescent="0.2">
      <c r="AQ93"/>
    </row>
    <row r="94" spans="43:43" x14ac:dyDescent="0.2">
      <c r="AQ94"/>
    </row>
    <row r="95" spans="43:43" x14ac:dyDescent="0.2">
      <c r="AQ95"/>
    </row>
    <row r="96" spans="43:43" x14ac:dyDescent="0.2">
      <c r="AQ96"/>
    </row>
    <row r="97" spans="43:43" x14ac:dyDescent="0.2">
      <c r="AQ97"/>
    </row>
    <row r="98" spans="43:43" x14ac:dyDescent="0.2">
      <c r="AQ98"/>
    </row>
    <row r="99" spans="43:43" x14ac:dyDescent="0.2">
      <c r="AQ99"/>
    </row>
    <row r="100" spans="43:43" x14ac:dyDescent="0.2">
      <c r="AQ100"/>
    </row>
    <row r="101" spans="43:43" x14ac:dyDescent="0.2">
      <c r="AQ101"/>
    </row>
    <row r="102" spans="43:43" x14ac:dyDescent="0.2">
      <c r="AQ102"/>
    </row>
    <row r="103" spans="43:43" x14ac:dyDescent="0.2">
      <c r="AQ103"/>
    </row>
    <row r="104" spans="43:43" x14ac:dyDescent="0.2">
      <c r="AQ104"/>
    </row>
    <row r="105" spans="43:43" x14ac:dyDescent="0.2">
      <c r="AQ105"/>
    </row>
    <row r="106" spans="43:43" x14ac:dyDescent="0.2">
      <c r="AQ106"/>
    </row>
    <row r="107" spans="43:43" x14ac:dyDescent="0.2">
      <c r="AQ107"/>
    </row>
    <row r="108" spans="43:43" x14ac:dyDescent="0.2">
      <c r="AQ108"/>
    </row>
    <row r="109" spans="43:43" x14ac:dyDescent="0.2">
      <c r="AQ109"/>
    </row>
    <row r="110" spans="43:43" x14ac:dyDescent="0.2">
      <c r="AQ110"/>
    </row>
    <row r="111" spans="43:43" x14ac:dyDescent="0.2">
      <c r="AQ111"/>
    </row>
    <row r="112" spans="43:43" x14ac:dyDescent="0.2">
      <c r="AQ112"/>
    </row>
    <row r="113" spans="43:43" x14ac:dyDescent="0.2">
      <c r="AQ113"/>
    </row>
    <row r="114" spans="43:43" x14ac:dyDescent="0.2">
      <c r="AQ114"/>
    </row>
    <row r="115" spans="43:43" x14ac:dyDescent="0.2">
      <c r="AQ115"/>
    </row>
    <row r="116" spans="43:43" x14ac:dyDescent="0.2">
      <c r="AQ116"/>
    </row>
    <row r="117" spans="43:43" x14ac:dyDescent="0.2">
      <c r="AQ117"/>
    </row>
    <row r="118" spans="43:43" x14ac:dyDescent="0.2">
      <c r="AQ118"/>
    </row>
    <row r="119" spans="43:43" x14ac:dyDescent="0.2">
      <c r="AQ119"/>
    </row>
    <row r="120" spans="43:43" x14ac:dyDescent="0.2">
      <c r="AQ120"/>
    </row>
    <row r="121" spans="43:43" x14ac:dyDescent="0.2">
      <c r="AQ121"/>
    </row>
    <row r="122" spans="43:43" x14ac:dyDescent="0.2">
      <c r="AQ122"/>
    </row>
    <row r="123" spans="43:43" x14ac:dyDescent="0.2">
      <c r="AQ123"/>
    </row>
    <row r="124" spans="43:43" x14ac:dyDescent="0.2">
      <c r="AQ124"/>
    </row>
    <row r="125" spans="43:43" x14ac:dyDescent="0.2">
      <c r="AQ125"/>
    </row>
    <row r="126" spans="43:43" x14ac:dyDescent="0.2">
      <c r="AQ126"/>
    </row>
    <row r="127" spans="43:43" x14ac:dyDescent="0.2">
      <c r="AQ127"/>
    </row>
    <row r="128" spans="43:43" x14ac:dyDescent="0.2">
      <c r="AQ128"/>
    </row>
    <row r="129" spans="43:43" x14ac:dyDescent="0.2">
      <c r="AQ129"/>
    </row>
    <row r="130" spans="43:43" x14ac:dyDescent="0.2">
      <c r="AQ130"/>
    </row>
    <row r="131" spans="43:43" x14ac:dyDescent="0.2">
      <c r="AQ131"/>
    </row>
    <row r="132" spans="43:43" x14ac:dyDescent="0.2">
      <c r="AQ132"/>
    </row>
    <row r="133" spans="43:43" x14ac:dyDescent="0.2">
      <c r="AQ133"/>
    </row>
    <row r="134" spans="43:43" x14ac:dyDescent="0.2">
      <c r="AQ134"/>
    </row>
    <row r="135" spans="43:43" x14ac:dyDescent="0.2">
      <c r="AQ135"/>
    </row>
    <row r="136" spans="43:43" x14ac:dyDescent="0.2">
      <c r="AQ136"/>
    </row>
    <row r="137" spans="43:43" x14ac:dyDescent="0.2">
      <c r="AQ137"/>
    </row>
    <row r="138" spans="43:43" x14ac:dyDescent="0.2">
      <c r="AQ138"/>
    </row>
    <row r="139" spans="43:43" x14ac:dyDescent="0.2">
      <c r="AQ139"/>
    </row>
    <row r="140" spans="43:43" x14ac:dyDescent="0.2">
      <c r="AQ140"/>
    </row>
    <row r="141" spans="43:43" x14ac:dyDescent="0.2">
      <c r="AQ141"/>
    </row>
    <row r="142" spans="43:43" x14ac:dyDescent="0.2">
      <c r="AQ142"/>
    </row>
    <row r="143" spans="43:43" x14ac:dyDescent="0.2">
      <c r="AQ143"/>
    </row>
    <row r="144" spans="43:43" x14ac:dyDescent="0.2">
      <c r="AQ144"/>
    </row>
    <row r="145" spans="43:43" x14ac:dyDescent="0.2">
      <c r="AQ145"/>
    </row>
    <row r="146" spans="43:43" x14ac:dyDescent="0.2">
      <c r="AQ146"/>
    </row>
    <row r="147" spans="43:43" x14ac:dyDescent="0.2">
      <c r="AQ147"/>
    </row>
    <row r="148" spans="43:43" x14ac:dyDescent="0.2">
      <c r="AQ148"/>
    </row>
    <row r="149" spans="43:43" x14ac:dyDescent="0.2">
      <c r="AQ149"/>
    </row>
    <row r="150" spans="43:43" x14ac:dyDescent="0.2">
      <c r="AQ150"/>
    </row>
    <row r="151" spans="43:43" x14ac:dyDescent="0.2">
      <c r="AQ151"/>
    </row>
    <row r="152" spans="43:43" x14ac:dyDescent="0.2">
      <c r="AQ152"/>
    </row>
    <row r="153" spans="43:43" x14ac:dyDescent="0.2">
      <c r="AQ153"/>
    </row>
    <row r="154" spans="43:43" x14ac:dyDescent="0.2">
      <c r="AQ154"/>
    </row>
    <row r="155" spans="43:43" x14ac:dyDescent="0.2">
      <c r="AQ155"/>
    </row>
    <row r="156" spans="43:43" x14ac:dyDescent="0.2">
      <c r="AQ156"/>
    </row>
    <row r="157" spans="43:43" x14ac:dyDescent="0.2">
      <c r="AQ157"/>
    </row>
    <row r="158" spans="43:43" x14ac:dyDescent="0.2">
      <c r="AQ158"/>
    </row>
    <row r="159" spans="43:43" x14ac:dyDescent="0.2">
      <c r="AQ159"/>
    </row>
    <row r="160" spans="43:43" x14ac:dyDescent="0.2">
      <c r="AQ160"/>
    </row>
    <row r="161" spans="43:43" x14ac:dyDescent="0.2">
      <c r="AQ161"/>
    </row>
    <row r="162" spans="43:43" x14ac:dyDescent="0.2">
      <c r="AQ162"/>
    </row>
    <row r="163" spans="43:43" x14ac:dyDescent="0.2">
      <c r="AQ163"/>
    </row>
    <row r="164" spans="43:43" x14ac:dyDescent="0.2">
      <c r="AQ164"/>
    </row>
    <row r="165" spans="43:43" x14ac:dyDescent="0.2">
      <c r="AQ165"/>
    </row>
    <row r="166" spans="43:43" x14ac:dyDescent="0.2">
      <c r="AQ166"/>
    </row>
    <row r="167" spans="43:43" x14ac:dyDescent="0.2">
      <c r="AQ167"/>
    </row>
    <row r="168" spans="43:43" x14ac:dyDescent="0.2">
      <c r="AQ168"/>
    </row>
    <row r="169" spans="43:43" x14ac:dyDescent="0.2">
      <c r="AQ169"/>
    </row>
    <row r="170" spans="43:43" x14ac:dyDescent="0.2">
      <c r="AQ170"/>
    </row>
    <row r="171" spans="43:43" x14ac:dyDescent="0.2">
      <c r="AQ171"/>
    </row>
    <row r="172" spans="43:43" x14ac:dyDescent="0.2">
      <c r="AQ172"/>
    </row>
    <row r="173" spans="43:43" x14ac:dyDescent="0.2">
      <c r="AQ173"/>
    </row>
    <row r="174" spans="43:43" x14ac:dyDescent="0.2">
      <c r="AQ174"/>
    </row>
    <row r="175" spans="43:43" x14ac:dyDescent="0.2">
      <c r="AQ175"/>
    </row>
    <row r="176" spans="43:43" x14ac:dyDescent="0.2">
      <c r="AQ176"/>
    </row>
    <row r="177" spans="43:43" x14ac:dyDescent="0.2">
      <c r="AQ177"/>
    </row>
    <row r="178" spans="43:43" x14ac:dyDescent="0.2">
      <c r="AQ178"/>
    </row>
    <row r="179" spans="43:43" x14ac:dyDescent="0.2">
      <c r="AQ179"/>
    </row>
    <row r="180" spans="43:43" x14ac:dyDescent="0.2">
      <c r="AQ180"/>
    </row>
    <row r="181" spans="43:43" x14ac:dyDescent="0.2">
      <c r="AQ181"/>
    </row>
    <row r="182" spans="43:43" x14ac:dyDescent="0.2">
      <c r="AQ182"/>
    </row>
    <row r="183" spans="43:43" x14ac:dyDescent="0.2">
      <c r="AQ183"/>
    </row>
    <row r="184" spans="43:43" x14ac:dyDescent="0.2">
      <c r="AQ184"/>
    </row>
    <row r="185" spans="43:43" x14ac:dyDescent="0.2">
      <c r="AQ185"/>
    </row>
    <row r="186" spans="43:43" x14ac:dyDescent="0.2">
      <c r="AQ186"/>
    </row>
    <row r="187" spans="43:43" x14ac:dyDescent="0.2">
      <c r="AQ187"/>
    </row>
    <row r="188" spans="43:43" x14ac:dyDescent="0.2">
      <c r="AQ188"/>
    </row>
    <row r="189" spans="43:43" x14ac:dyDescent="0.2">
      <c r="AQ189"/>
    </row>
    <row r="190" spans="43:43" x14ac:dyDescent="0.2">
      <c r="AQ190"/>
    </row>
    <row r="191" spans="43:43" x14ac:dyDescent="0.2">
      <c r="AQ191"/>
    </row>
    <row r="192" spans="43:43" x14ac:dyDescent="0.2">
      <c r="AQ192"/>
    </row>
    <row r="193" spans="43:43" x14ac:dyDescent="0.2">
      <c r="AQ193"/>
    </row>
    <row r="194" spans="43:43" x14ac:dyDescent="0.2">
      <c r="AQ194"/>
    </row>
    <row r="195" spans="43:43" x14ac:dyDescent="0.2">
      <c r="AQ195"/>
    </row>
    <row r="196" spans="43:43" x14ac:dyDescent="0.2">
      <c r="AQ196"/>
    </row>
    <row r="197" spans="43:43" x14ac:dyDescent="0.2">
      <c r="AQ197"/>
    </row>
    <row r="198" spans="43:43" x14ac:dyDescent="0.2">
      <c r="AQ198"/>
    </row>
    <row r="199" spans="43:43" x14ac:dyDescent="0.2">
      <c r="AQ199"/>
    </row>
    <row r="200" spans="43:43" x14ac:dyDescent="0.2">
      <c r="AQ200"/>
    </row>
    <row r="201" spans="43:43" x14ac:dyDescent="0.2">
      <c r="AQ201"/>
    </row>
    <row r="202" spans="43:43" x14ac:dyDescent="0.2">
      <c r="AQ202"/>
    </row>
    <row r="203" spans="43:43" x14ac:dyDescent="0.2">
      <c r="AQ203"/>
    </row>
    <row r="204" spans="43:43" x14ac:dyDescent="0.2">
      <c r="AQ204"/>
    </row>
    <row r="205" spans="43:43" x14ac:dyDescent="0.2">
      <c r="AQ205"/>
    </row>
    <row r="206" spans="43:43" x14ac:dyDescent="0.2">
      <c r="AQ206"/>
    </row>
    <row r="207" spans="43:43" x14ac:dyDescent="0.2">
      <c r="AQ207"/>
    </row>
    <row r="208" spans="43:43" x14ac:dyDescent="0.2">
      <c r="AQ208"/>
    </row>
    <row r="209" spans="43:43" x14ac:dyDescent="0.2">
      <c r="AQ209"/>
    </row>
    <row r="210" spans="43:43" x14ac:dyDescent="0.2">
      <c r="AQ210"/>
    </row>
    <row r="211" spans="43:43" x14ac:dyDescent="0.2">
      <c r="AQ211"/>
    </row>
    <row r="212" spans="43:43" x14ac:dyDescent="0.2">
      <c r="AQ212"/>
    </row>
    <row r="213" spans="43:43" x14ac:dyDescent="0.2">
      <c r="AQ213"/>
    </row>
    <row r="214" spans="43:43" x14ac:dyDescent="0.2">
      <c r="AQ214"/>
    </row>
    <row r="215" spans="43:43" x14ac:dyDescent="0.2">
      <c r="AQ215"/>
    </row>
    <row r="216" spans="43:43" x14ac:dyDescent="0.2">
      <c r="AQ216"/>
    </row>
    <row r="217" spans="43:43" x14ac:dyDescent="0.2">
      <c r="AQ217"/>
    </row>
    <row r="218" spans="43:43" x14ac:dyDescent="0.2">
      <c r="AQ218"/>
    </row>
    <row r="219" spans="43:43" x14ac:dyDescent="0.2">
      <c r="AQ219"/>
    </row>
    <row r="220" spans="43:43" x14ac:dyDescent="0.2">
      <c r="AQ220"/>
    </row>
    <row r="221" spans="43:43" x14ac:dyDescent="0.2">
      <c r="AQ221"/>
    </row>
    <row r="222" spans="43:43" x14ac:dyDescent="0.2">
      <c r="AQ222"/>
    </row>
    <row r="223" spans="43:43" x14ac:dyDescent="0.2">
      <c r="AQ223"/>
    </row>
    <row r="224" spans="43:43" x14ac:dyDescent="0.2">
      <c r="AQ224"/>
    </row>
    <row r="225" spans="43:43" x14ac:dyDescent="0.2">
      <c r="AQ225"/>
    </row>
    <row r="226" spans="43:43" x14ac:dyDescent="0.2">
      <c r="AQ226"/>
    </row>
    <row r="227" spans="43:43" x14ac:dyDescent="0.2">
      <c r="AQ227"/>
    </row>
    <row r="228" spans="43:43" x14ac:dyDescent="0.2">
      <c r="AQ228"/>
    </row>
    <row r="229" spans="43:43" x14ac:dyDescent="0.2">
      <c r="AQ229"/>
    </row>
    <row r="230" spans="43:43" x14ac:dyDescent="0.2">
      <c r="AQ230"/>
    </row>
    <row r="231" spans="43:43" x14ac:dyDescent="0.2">
      <c r="AQ231"/>
    </row>
    <row r="232" spans="43:43" x14ac:dyDescent="0.2">
      <c r="AQ232"/>
    </row>
    <row r="233" spans="43:43" x14ac:dyDescent="0.2">
      <c r="AQ233"/>
    </row>
    <row r="234" spans="43:43" x14ac:dyDescent="0.2">
      <c r="AQ234"/>
    </row>
    <row r="235" spans="43:43" x14ac:dyDescent="0.2">
      <c r="AQ235"/>
    </row>
    <row r="236" spans="43:43" x14ac:dyDescent="0.2">
      <c r="AQ236"/>
    </row>
    <row r="237" spans="43:43" x14ac:dyDescent="0.2">
      <c r="AQ237"/>
    </row>
    <row r="238" spans="43:43" x14ac:dyDescent="0.2">
      <c r="AQ238"/>
    </row>
    <row r="239" spans="43:43" x14ac:dyDescent="0.2">
      <c r="AQ239"/>
    </row>
    <row r="240" spans="43:43" x14ac:dyDescent="0.2">
      <c r="AQ240"/>
    </row>
    <row r="241" spans="43:43" x14ac:dyDescent="0.2">
      <c r="AQ241"/>
    </row>
    <row r="242" spans="43:43" x14ac:dyDescent="0.2">
      <c r="AQ242"/>
    </row>
    <row r="243" spans="43:43" x14ac:dyDescent="0.2">
      <c r="AQ243"/>
    </row>
    <row r="244" spans="43:43" x14ac:dyDescent="0.2">
      <c r="AQ244"/>
    </row>
    <row r="245" spans="43:43" x14ac:dyDescent="0.2">
      <c r="AQ245"/>
    </row>
    <row r="246" spans="43:43" x14ac:dyDescent="0.2">
      <c r="AQ246"/>
    </row>
    <row r="247" spans="43:43" x14ac:dyDescent="0.2">
      <c r="AQ247"/>
    </row>
    <row r="248" spans="43:43" x14ac:dyDescent="0.2">
      <c r="AQ248"/>
    </row>
    <row r="249" spans="43:43" x14ac:dyDescent="0.2">
      <c r="AQ249"/>
    </row>
    <row r="250" spans="43:43" x14ac:dyDescent="0.2">
      <c r="AQ250"/>
    </row>
    <row r="251" spans="43:43" x14ac:dyDescent="0.2">
      <c r="AQ251"/>
    </row>
    <row r="252" spans="43:43" x14ac:dyDescent="0.2">
      <c r="AQ252"/>
    </row>
    <row r="253" spans="43:43" x14ac:dyDescent="0.2">
      <c r="AQ253"/>
    </row>
    <row r="254" spans="43:43" x14ac:dyDescent="0.2">
      <c r="AQ254"/>
    </row>
    <row r="255" spans="43:43" x14ac:dyDescent="0.2">
      <c r="AQ255"/>
    </row>
    <row r="256" spans="43:43" x14ac:dyDescent="0.2">
      <c r="AQ256"/>
    </row>
    <row r="257" spans="43:43" x14ac:dyDescent="0.2">
      <c r="AQ257"/>
    </row>
    <row r="258" spans="43:43" x14ac:dyDescent="0.2">
      <c r="AQ258"/>
    </row>
    <row r="259" spans="43:43" x14ac:dyDescent="0.2">
      <c r="AQ259"/>
    </row>
    <row r="260" spans="43:43" x14ac:dyDescent="0.2">
      <c r="AQ260"/>
    </row>
    <row r="261" spans="43:43" x14ac:dyDescent="0.2">
      <c r="AQ261"/>
    </row>
    <row r="262" spans="43:43" x14ac:dyDescent="0.2">
      <c r="AQ262"/>
    </row>
    <row r="263" spans="43:43" x14ac:dyDescent="0.2">
      <c r="AQ263"/>
    </row>
    <row r="264" spans="43:43" x14ac:dyDescent="0.2">
      <c r="AQ264"/>
    </row>
    <row r="265" spans="43:43" x14ac:dyDescent="0.2">
      <c r="AQ265"/>
    </row>
    <row r="266" spans="43:43" x14ac:dyDescent="0.2">
      <c r="AQ266"/>
    </row>
    <row r="267" spans="43:43" x14ac:dyDescent="0.2">
      <c r="AQ267"/>
    </row>
    <row r="268" spans="43:43" x14ac:dyDescent="0.2">
      <c r="AQ268"/>
    </row>
    <row r="269" spans="43:43" x14ac:dyDescent="0.2">
      <c r="AQ269"/>
    </row>
    <row r="270" spans="43:43" x14ac:dyDescent="0.2">
      <c r="AQ270"/>
    </row>
    <row r="271" spans="43:43" x14ac:dyDescent="0.2">
      <c r="AQ271"/>
    </row>
    <row r="272" spans="43:43" x14ac:dyDescent="0.2">
      <c r="AQ272"/>
    </row>
    <row r="273" spans="43:43" x14ac:dyDescent="0.2">
      <c r="AQ273"/>
    </row>
    <row r="274" spans="43:43" x14ac:dyDescent="0.2">
      <c r="AQ274"/>
    </row>
    <row r="275" spans="43:43" x14ac:dyDescent="0.2">
      <c r="AQ275"/>
    </row>
    <row r="276" spans="43:43" x14ac:dyDescent="0.2">
      <c r="AQ276"/>
    </row>
    <row r="277" spans="43:43" x14ac:dyDescent="0.2">
      <c r="AQ277"/>
    </row>
    <row r="278" spans="43:43" x14ac:dyDescent="0.2">
      <c r="AQ278"/>
    </row>
    <row r="279" spans="43:43" x14ac:dyDescent="0.2">
      <c r="AQ279"/>
    </row>
    <row r="280" spans="43:43" x14ac:dyDescent="0.2">
      <c r="AQ280"/>
    </row>
    <row r="281" spans="43:43" x14ac:dyDescent="0.2">
      <c r="AQ281"/>
    </row>
    <row r="282" spans="43:43" x14ac:dyDescent="0.2">
      <c r="AQ282"/>
    </row>
    <row r="283" spans="43:43" x14ac:dyDescent="0.2">
      <c r="AQ283"/>
    </row>
    <row r="284" spans="43:43" x14ac:dyDescent="0.2">
      <c r="AQ284"/>
    </row>
    <row r="285" spans="43:43" x14ac:dyDescent="0.2">
      <c r="AQ285"/>
    </row>
    <row r="286" spans="43:43" x14ac:dyDescent="0.2">
      <c r="AQ286"/>
    </row>
    <row r="287" spans="43:43" x14ac:dyDescent="0.2">
      <c r="AQ287"/>
    </row>
    <row r="288" spans="43:43" x14ac:dyDescent="0.2">
      <c r="AQ288"/>
    </row>
    <row r="289" spans="43:43" x14ac:dyDescent="0.2">
      <c r="AQ289"/>
    </row>
    <row r="290" spans="43:43" x14ac:dyDescent="0.2">
      <c r="AQ290"/>
    </row>
    <row r="291" spans="43:43" x14ac:dyDescent="0.2">
      <c r="AQ291"/>
    </row>
    <row r="292" spans="43:43" x14ac:dyDescent="0.2">
      <c r="AQ292"/>
    </row>
    <row r="293" spans="43:43" x14ac:dyDescent="0.2">
      <c r="AQ293"/>
    </row>
    <row r="294" spans="43:43" x14ac:dyDescent="0.2">
      <c r="AQ294"/>
    </row>
    <row r="295" spans="43:43" x14ac:dyDescent="0.2">
      <c r="AQ295"/>
    </row>
    <row r="296" spans="43:43" x14ac:dyDescent="0.2">
      <c r="AQ296"/>
    </row>
    <row r="297" spans="43:43" x14ac:dyDescent="0.2">
      <c r="AQ297"/>
    </row>
    <row r="298" spans="43:43" x14ac:dyDescent="0.2">
      <c r="AQ298"/>
    </row>
    <row r="299" spans="43:43" x14ac:dyDescent="0.2">
      <c r="AQ299"/>
    </row>
    <row r="300" spans="43:43" x14ac:dyDescent="0.2">
      <c r="AQ300"/>
    </row>
    <row r="301" spans="43:43" x14ac:dyDescent="0.2">
      <c r="AQ301"/>
    </row>
    <row r="302" spans="43:43" x14ac:dyDescent="0.2">
      <c r="AQ302"/>
    </row>
    <row r="303" spans="43:43" x14ac:dyDescent="0.2">
      <c r="AQ303"/>
    </row>
    <row r="304" spans="43:43" x14ac:dyDescent="0.2">
      <c r="AQ304"/>
    </row>
    <row r="305" spans="43:43" x14ac:dyDescent="0.2">
      <c r="AQ305"/>
    </row>
    <row r="306" spans="43:43" x14ac:dyDescent="0.2">
      <c r="AQ306"/>
    </row>
    <row r="307" spans="43:43" x14ac:dyDescent="0.2">
      <c r="AQ307"/>
    </row>
    <row r="308" spans="43:43" x14ac:dyDescent="0.2">
      <c r="AQ308"/>
    </row>
    <row r="309" spans="43:43" x14ac:dyDescent="0.2">
      <c r="AQ309"/>
    </row>
    <row r="310" spans="43:43" x14ac:dyDescent="0.2">
      <c r="AQ310"/>
    </row>
    <row r="311" spans="43:43" x14ac:dyDescent="0.2">
      <c r="AQ311"/>
    </row>
    <row r="312" spans="43:43" x14ac:dyDescent="0.2">
      <c r="AQ312"/>
    </row>
    <row r="313" spans="43:43" x14ac:dyDescent="0.2">
      <c r="AQ313"/>
    </row>
    <row r="314" spans="43:43" x14ac:dyDescent="0.2">
      <c r="AQ314"/>
    </row>
    <row r="315" spans="43:43" x14ac:dyDescent="0.2">
      <c r="AQ315"/>
    </row>
    <row r="316" spans="43:43" x14ac:dyDescent="0.2">
      <c r="AQ316"/>
    </row>
    <row r="317" spans="43:43" x14ac:dyDescent="0.2">
      <c r="AQ317"/>
    </row>
    <row r="318" spans="43:43" x14ac:dyDescent="0.2">
      <c r="AQ318"/>
    </row>
    <row r="319" spans="43:43" x14ac:dyDescent="0.2">
      <c r="AQ319"/>
    </row>
    <row r="320" spans="43:43" x14ac:dyDescent="0.2">
      <c r="AQ320"/>
    </row>
    <row r="321" spans="43:43" x14ac:dyDescent="0.2">
      <c r="AQ321"/>
    </row>
    <row r="322" spans="43:43" x14ac:dyDescent="0.2">
      <c r="AQ322"/>
    </row>
    <row r="323" spans="43:43" x14ac:dyDescent="0.2">
      <c r="AQ323"/>
    </row>
    <row r="324" spans="43:43" x14ac:dyDescent="0.2">
      <c r="AQ324"/>
    </row>
    <row r="325" spans="43:43" x14ac:dyDescent="0.2">
      <c r="AQ325"/>
    </row>
    <row r="326" spans="43:43" x14ac:dyDescent="0.2">
      <c r="AQ326"/>
    </row>
    <row r="327" spans="43:43" x14ac:dyDescent="0.2">
      <c r="AQ327"/>
    </row>
    <row r="328" spans="43:43" x14ac:dyDescent="0.2">
      <c r="AQ328"/>
    </row>
    <row r="329" spans="43:43" x14ac:dyDescent="0.2">
      <c r="AQ329"/>
    </row>
    <row r="330" spans="43:43" x14ac:dyDescent="0.2">
      <c r="AQ330"/>
    </row>
    <row r="331" spans="43:43" x14ac:dyDescent="0.2">
      <c r="AQ331"/>
    </row>
    <row r="332" spans="43:43" x14ac:dyDescent="0.2">
      <c r="AQ332"/>
    </row>
    <row r="333" spans="43:43" x14ac:dyDescent="0.2">
      <c r="AQ333"/>
    </row>
    <row r="334" spans="43:43" x14ac:dyDescent="0.2">
      <c r="AQ334"/>
    </row>
    <row r="335" spans="43:43" x14ac:dyDescent="0.2">
      <c r="AQ335"/>
    </row>
    <row r="336" spans="43:43" x14ac:dyDescent="0.2">
      <c r="AQ336"/>
    </row>
    <row r="337" spans="43:43" x14ac:dyDescent="0.2">
      <c r="AQ337"/>
    </row>
    <row r="338" spans="43:43" x14ac:dyDescent="0.2">
      <c r="AQ338"/>
    </row>
    <row r="339" spans="43:43" x14ac:dyDescent="0.2">
      <c r="AQ339"/>
    </row>
    <row r="340" spans="43:43" x14ac:dyDescent="0.2">
      <c r="AQ340"/>
    </row>
    <row r="341" spans="43:43" x14ac:dyDescent="0.2">
      <c r="AQ341"/>
    </row>
    <row r="342" spans="43:43" x14ac:dyDescent="0.2">
      <c r="AQ342"/>
    </row>
    <row r="343" spans="43:43" x14ac:dyDescent="0.2">
      <c r="AQ343"/>
    </row>
    <row r="344" spans="43:43" x14ac:dyDescent="0.2">
      <c r="AQ344"/>
    </row>
    <row r="345" spans="43:43" x14ac:dyDescent="0.2">
      <c r="AQ345"/>
    </row>
    <row r="346" spans="43:43" x14ac:dyDescent="0.2">
      <c r="AQ346"/>
    </row>
    <row r="347" spans="43:43" x14ac:dyDescent="0.2">
      <c r="AQ347"/>
    </row>
    <row r="348" spans="43:43" x14ac:dyDescent="0.2">
      <c r="AQ348"/>
    </row>
    <row r="349" spans="43:43" x14ac:dyDescent="0.2">
      <c r="AQ349"/>
    </row>
    <row r="350" spans="43:43" x14ac:dyDescent="0.2">
      <c r="AQ350"/>
    </row>
    <row r="351" spans="43:43" x14ac:dyDescent="0.2">
      <c r="AQ351"/>
    </row>
    <row r="352" spans="43:43" x14ac:dyDescent="0.2">
      <c r="AQ352"/>
    </row>
    <row r="353" spans="43:43" x14ac:dyDescent="0.2">
      <c r="AQ353"/>
    </row>
    <row r="354" spans="43:43" x14ac:dyDescent="0.2">
      <c r="AQ354"/>
    </row>
    <row r="355" spans="43:43" x14ac:dyDescent="0.2">
      <c r="AQ355"/>
    </row>
    <row r="356" spans="43:43" x14ac:dyDescent="0.2">
      <c r="AQ356"/>
    </row>
    <row r="357" spans="43:43" x14ac:dyDescent="0.2">
      <c r="AQ357"/>
    </row>
    <row r="358" spans="43:43" x14ac:dyDescent="0.2">
      <c r="AQ358"/>
    </row>
    <row r="359" spans="43:43" x14ac:dyDescent="0.2">
      <c r="AQ359"/>
    </row>
    <row r="360" spans="43:43" x14ac:dyDescent="0.2">
      <c r="AQ360"/>
    </row>
    <row r="361" spans="43:43" x14ac:dyDescent="0.2">
      <c r="AQ361"/>
    </row>
    <row r="362" spans="43:43" x14ac:dyDescent="0.2">
      <c r="AQ362"/>
    </row>
    <row r="363" spans="43:43" x14ac:dyDescent="0.2">
      <c r="AQ363"/>
    </row>
    <row r="364" spans="43:43" x14ac:dyDescent="0.2">
      <c r="AQ364"/>
    </row>
    <row r="365" spans="43:43" x14ac:dyDescent="0.2">
      <c r="AQ365"/>
    </row>
    <row r="366" spans="43:43" x14ac:dyDescent="0.2">
      <c r="AQ366"/>
    </row>
    <row r="367" spans="43:43" x14ac:dyDescent="0.2">
      <c r="AQ367"/>
    </row>
    <row r="368" spans="43:43" x14ac:dyDescent="0.2">
      <c r="AQ368"/>
    </row>
    <row r="369" spans="43:43" x14ac:dyDescent="0.2">
      <c r="AQ369"/>
    </row>
    <row r="370" spans="43:43" x14ac:dyDescent="0.2">
      <c r="AQ370"/>
    </row>
    <row r="371" spans="43:43" x14ac:dyDescent="0.2">
      <c r="AQ371"/>
    </row>
    <row r="372" spans="43:43" x14ac:dyDescent="0.2">
      <c r="AQ372"/>
    </row>
    <row r="373" spans="43:43" x14ac:dyDescent="0.2">
      <c r="AQ373"/>
    </row>
    <row r="374" spans="43:43" x14ac:dyDescent="0.2">
      <c r="AQ374"/>
    </row>
    <row r="375" spans="43:43" x14ac:dyDescent="0.2">
      <c r="AQ375"/>
    </row>
    <row r="376" spans="43:43" x14ac:dyDescent="0.2">
      <c r="AQ376"/>
    </row>
    <row r="377" spans="43:43" x14ac:dyDescent="0.2">
      <c r="AQ377"/>
    </row>
    <row r="378" spans="43:43" x14ac:dyDescent="0.2">
      <c r="AQ378"/>
    </row>
    <row r="379" spans="43:43" x14ac:dyDescent="0.2">
      <c r="AQ379"/>
    </row>
    <row r="380" spans="43:43" x14ac:dyDescent="0.2">
      <c r="AQ380"/>
    </row>
    <row r="381" spans="43:43" x14ac:dyDescent="0.2">
      <c r="AQ381"/>
    </row>
    <row r="382" spans="43:43" x14ac:dyDescent="0.2">
      <c r="AQ382"/>
    </row>
    <row r="383" spans="43:43" x14ac:dyDescent="0.2">
      <c r="AQ383"/>
    </row>
    <row r="384" spans="43:43" x14ac:dyDescent="0.2">
      <c r="AQ384"/>
    </row>
    <row r="385" spans="43:43" x14ac:dyDescent="0.2">
      <c r="AQ385"/>
    </row>
    <row r="386" spans="43:43" x14ac:dyDescent="0.2">
      <c r="AQ386"/>
    </row>
    <row r="387" spans="43:43" x14ac:dyDescent="0.2">
      <c r="AQ387"/>
    </row>
    <row r="388" spans="43:43" x14ac:dyDescent="0.2">
      <c r="AQ388"/>
    </row>
    <row r="389" spans="43:43" x14ac:dyDescent="0.2">
      <c r="AQ389"/>
    </row>
    <row r="390" spans="43:43" x14ac:dyDescent="0.2">
      <c r="AQ390"/>
    </row>
    <row r="391" spans="43:43" x14ac:dyDescent="0.2">
      <c r="AQ391"/>
    </row>
    <row r="392" spans="43:43" x14ac:dyDescent="0.2">
      <c r="AQ392"/>
    </row>
    <row r="393" spans="43:43" x14ac:dyDescent="0.2">
      <c r="AQ393"/>
    </row>
    <row r="394" spans="43:43" x14ac:dyDescent="0.2">
      <c r="AQ394"/>
    </row>
    <row r="395" spans="43:43" x14ac:dyDescent="0.2">
      <c r="AQ395"/>
    </row>
    <row r="396" spans="43:43" x14ac:dyDescent="0.2">
      <c r="AQ396"/>
    </row>
    <row r="397" spans="43:43" x14ac:dyDescent="0.2">
      <c r="AQ397"/>
    </row>
    <row r="398" spans="43:43" x14ac:dyDescent="0.2">
      <c r="AQ398"/>
    </row>
    <row r="399" spans="43:43" x14ac:dyDescent="0.2">
      <c r="AQ399"/>
    </row>
    <row r="400" spans="43:43" x14ac:dyDescent="0.2">
      <c r="AQ400"/>
    </row>
    <row r="401" spans="43:43" x14ac:dyDescent="0.2">
      <c r="AQ401"/>
    </row>
    <row r="402" spans="43:43" x14ac:dyDescent="0.2">
      <c r="AQ402"/>
    </row>
    <row r="403" spans="43:43" x14ac:dyDescent="0.2">
      <c r="AQ403"/>
    </row>
    <row r="404" spans="43:43" x14ac:dyDescent="0.2">
      <c r="AQ404"/>
    </row>
    <row r="405" spans="43:43" x14ac:dyDescent="0.2">
      <c r="AQ405"/>
    </row>
    <row r="406" spans="43:43" x14ac:dyDescent="0.2">
      <c r="AQ406"/>
    </row>
    <row r="407" spans="43:43" x14ac:dyDescent="0.2">
      <c r="AQ407"/>
    </row>
    <row r="408" spans="43:43" x14ac:dyDescent="0.2">
      <c r="AQ408"/>
    </row>
    <row r="409" spans="43:43" x14ac:dyDescent="0.2">
      <c r="AQ409"/>
    </row>
    <row r="410" spans="43:43" x14ac:dyDescent="0.2">
      <c r="AQ410"/>
    </row>
    <row r="411" spans="43:43" x14ac:dyDescent="0.2">
      <c r="AQ411"/>
    </row>
    <row r="412" spans="43:43" x14ac:dyDescent="0.2">
      <c r="AQ412"/>
    </row>
    <row r="413" spans="43:43" x14ac:dyDescent="0.2">
      <c r="AQ413"/>
    </row>
    <row r="414" spans="43:43" x14ac:dyDescent="0.2">
      <c r="AQ414"/>
    </row>
    <row r="415" spans="43:43" x14ac:dyDescent="0.2">
      <c r="AQ415"/>
    </row>
    <row r="416" spans="43:43" x14ac:dyDescent="0.2">
      <c r="AQ416"/>
    </row>
    <row r="417" spans="43:43" x14ac:dyDescent="0.2">
      <c r="AQ417"/>
    </row>
    <row r="418" spans="43:43" x14ac:dyDescent="0.2">
      <c r="AQ418"/>
    </row>
    <row r="419" spans="43:43" x14ac:dyDescent="0.2">
      <c r="AQ419"/>
    </row>
    <row r="420" spans="43:43" x14ac:dyDescent="0.2">
      <c r="AQ420"/>
    </row>
    <row r="421" spans="43:43" x14ac:dyDescent="0.2">
      <c r="AQ421"/>
    </row>
    <row r="422" spans="43:43" x14ac:dyDescent="0.2">
      <c r="AQ422"/>
    </row>
    <row r="423" spans="43:43" x14ac:dyDescent="0.2">
      <c r="AQ423"/>
    </row>
    <row r="424" spans="43:43" x14ac:dyDescent="0.2">
      <c r="AQ424"/>
    </row>
    <row r="425" spans="43:43" x14ac:dyDescent="0.2">
      <c r="AQ425"/>
    </row>
    <row r="426" spans="43:43" x14ac:dyDescent="0.2">
      <c r="AQ426"/>
    </row>
    <row r="427" spans="43:43" x14ac:dyDescent="0.2">
      <c r="AQ427"/>
    </row>
    <row r="428" spans="43:43" x14ac:dyDescent="0.2">
      <c r="AQ428"/>
    </row>
    <row r="429" spans="43:43" x14ac:dyDescent="0.2">
      <c r="AQ429"/>
    </row>
    <row r="430" spans="43:43" x14ac:dyDescent="0.2">
      <c r="AQ430"/>
    </row>
    <row r="431" spans="43:43" x14ac:dyDescent="0.2">
      <c r="AQ431"/>
    </row>
    <row r="432" spans="43:43" x14ac:dyDescent="0.2">
      <c r="AQ432"/>
    </row>
    <row r="433" spans="43:43" x14ac:dyDescent="0.2">
      <c r="AQ433"/>
    </row>
    <row r="434" spans="43:43" x14ac:dyDescent="0.2">
      <c r="AQ434"/>
    </row>
    <row r="435" spans="43:43" x14ac:dyDescent="0.2">
      <c r="AQ435"/>
    </row>
    <row r="436" spans="43:43" x14ac:dyDescent="0.2">
      <c r="AQ436"/>
    </row>
    <row r="437" spans="43:43" x14ac:dyDescent="0.2">
      <c r="AQ437"/>
    </row>
    <row r="438" spans="43:43" x14ac:dyDescent="0.2">
      <c r="AQ438"/>
    </row>
    <row r="439" spans="43:43" x14ac:dyDescent="0.2">
      <c r="AQ439"/>
    </row>
    <row r="440" spans="43:43" x14ac:dyDescent="0.2">
      <c r="AQ440"/>
    </row>
    <row r="441" spans="43:43" x14ac:dyDescent="0.2">
      <c r="AQ441"/>
    </row>
    <row r="442" spans="43:43" x14ac:dyDescent="0.2">
      <c r="AQ442"/>
    </row>
    <row r="443" spans="43:43" x14ac:dyDescent="0.2">
      <c r="AQ443"/>
    </row>
    <row r="444" spans="43:43" x14ac:dyDescent="0.2">
      <c r="AQ444"/>
    </row>
    <row r="445" spans="43:43" x14ac:dyDescent="0.2">
      <c r="AQ445"/>
    </row>
    <row r="446" spans="43:43" x14ac:dyDescent="0.2">
      <c r="AQ446"/>
    </row>
    <row r="447" spans="43:43" x14ac:dyDescent="0.2">
      <c r="AQ447"/>
    </row>
    <row r="448" spans="43:43" x14ac:dyDescent="0.2">
      <c r="AQ448"/>
    </row>
    <row r="449" spans="43:43" x14ac:dyDescent="0.2">
      <c r="AQ449"/>
    </row>
    <row r="450" spans="43:43" x14ac:dyDescent="0.2">
      <c r="AQ450"/>
    </row>
    <row r="451" spans="43:43" x14ac:dyDescent="0.2">
      <c r="AQ451"/>
    </row>
    <row r="452" spans="43:43" x14ac:dyDescent="0.2">
      <c r="AQ452"/>
    </row>
    <row r="453" spans="43:43" x14ac:dyDescent="0.2">
      <c r="AQ453"/>
    </row>
    <row r="454" spans="43:43" x14ac:dyDescent="0.2">
      <c r="AQ454"/>
    </row>
    <row r="455" spans="43:43" x14ac:dyDescent="0.2">
      <c r="AQ455"/>
    </row>
    <row r="456" spans="43:43" x14ac:dyDescent="0.2">
      <c r="AQ456"/>
    </row>
    <row r="457" spans="43:43" x14ac:dyDescent="0.2">
      <c r="AQ457"/>
    </row>
    <row r="458" spans="43:43" x14ac:dyDescent="0.2">
      <c r="AQ458"/>
    </row>
  </sheetData>
  <mergeCells count="2">
    <mergeCell ref="B2:C2"/>
    <mergeCell ref="E1:AI3"/>
  </mergeCells>
  <phoneticPr fontId="1" type="noConversion"/>
  <conditionalFormatting sqref="E6:AI76">
    <cfRule type="expression" dxfId="1" priority="2" stopIfTrue="1">
      <formula>AND(NOT(_xlfn.ISFORMULA(INDIRECT("rc",FALSE))),"rc"&lt;&gt;"")</formula>
    </cfRule>
  </conditionalFormatting>
  <conditionalFormatting sqref="B2">
    <cfRule type="expression" dxfId="0" priority="1" stopIfTrue="1">
      <formula>AND(NOT(_xlfn.ISFORMULA(INDIRECT("rc",FALSE))),"rc"&lt;&gt;"")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CDFoods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Pratt</dc:creator>
  <cp:lastModifiedBy>Martin Jesper Low Madsen</cp:lastModifiedBy>
  <dcterms:created xsi:type="dcterms:W3CDTF">2025-11-03T15:24:02Z</dcterms:created>
  <dcterms:modified xsi:type="dcterms:W3CDTF">2025-11-13T23:34:28Z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2025-11-12T12:19:26Z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dfce373b-21ed-44e5-ab88-c74c4ca8b1fc</vt:lpwstr>
  </property>
  <property fmtid="{D5CDD505-2E9C-101B-9397-08002B2CF9AE}" pid="7" name="MSIP_Label_defa4170-0d19-0005-0004-bc88714345d2_ActionId">
    <vt:lpwstr>85bbe3f5-7318-4988-8afb-c6bcae5263ea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